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https://myisepipp-my.sharepoint.com/personal/nps_isep_ipp_pt/Documents/Ensino/ARQSOFT+ODSOFT/ARQSOFT+ODSOFT 2026-2027/project/ODSOFT/"/>
    </mc:Choice>
  </mc:AlternateContent>
  <xr:revisionPtr revIDLastSave="1" documentId="8_{099E2D5E-AF52-DF43-B1FC-C7AD7E0B83CC}" xr6:coauthVersionLast="47" xr6:coauthVersionMax="47" xr10:uidLastSave="{460A5BCE-7AF8-2E42-A66D-E0612DFEEC26}"/>
  <workbookProtection workbookAlgorithmName="SHA-512" workbookHashValue="wDH21bz8Ub4mbYG4ai3HC5pWNPxaq6+w3PLOO4swMYMRUjKRXYYmt/Ffeh27bM1vmvp/hZ7MO0ycVSnV5Uprxw==" workbookSaltValue="/hPn9wVV8bjVusMvrpFKeA==" workbookSpinCount="100000" lockStructure="1"/>
  <bookViews>
    <workbookView xWindow="-2080" yWindow="-21000" windowWidth="19200" windowHeight="21000" xr2:uid="{00000000-000D-0000-FFFF-FFFF00000000}"/>
  </bookViews>
  <sheets>
    <sheet name="Princípios" sheetId="1" r:id="rId1"/>
    <sheet name="Rubrica P1" sheetId="2" r:id="rId2"/>
    <sheet name="Grelha P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  <c r="E22" i="3" s="1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E24" i="3"/>
  <c r="D24" i="3"/>
  <c r="C22" i="3"/>
  <c r="D23" i="3"/>
  <c r="D22" i="3" s="1"/>
  <c r="D19" i="3"/>
  <c r="D15" i="3"/>
  <c r="D9" i="3"/>
  <c r="D3" i="3"/>
</calcChain>
</file>

<file path=xl/sharedStrings.xml><?xml version="1.0" encoding="utf-8"?>
<sst xmlns="http://schemas.openxmlformats.org/spreadsheetml/2006/main" count="304" uniqueCount="186">
  <si>
    <t>Princípio</t>
  </si>
  <si>
    <t>Descrição</t>
  </si>
  <si>
    <t>Avaliação para a aprendizagem</t>
  </si>
  <si>
    <t>A avaliação constitui também uma oportunidade de aprendizagem. O feedback identifica pontos fortes e aspetos a melhorar e orienta o estudante na revisão das suas soluções e no desenvolvimento das suas competências.</t>
  </si>
  <si>
    <t>Avaliação baseada em evidências</t>
  </si>
  <si>
    <t>Os artefactos e resultados entregues constituem o ponto de partida da avaliação e sustentam a apreciação das competências demonstradas.</t>
  </si>
  <si>
    <t>Competência demonstrada</t>
  </si>
  <si>
    <t>Os estudantes devem demonstrar capacidade para conceber e desenvolver soluções, analisar criticamente a sua adequação, avaliar alternativas e justificar decisões e compromissos, propondo melhorias fundamentadas.</t>
  </si>
  <si>
    <t>Avaliação não compensatória</t>
  </si>
  <si>
    <t>A qualidade dos artefactos não compensa a ausência de competência demonstrada, nem uma explicação tecnicamente fundamentada compensa a ausência de evidência adequada. Ambas são necessárias para uma avaliação positiva.</t>
  </si>
  <si>
    <t>Responsabilidade individual</t>
  </si>
  <si>
    <t>Embora os artefactos possam ser desenvolvidos em grupo, a avaliação reflete a competência demonstrada individualmente por cada estudante.</t>
  </si>
  <si>
    <t>Adoção de IA generativa</t>
  </si>
  <si>
    <t>É incentivada a utilização de ferramentas de IA generativa como apoio ao desenvolvimento e à aprendizagem. O estudante assume a responsabilidade pelas soluções apresentadas, incluindo as produzidas com apoio destas ferramentas, devendo ser capaz de as analisar criticamente, validar, justificar e melhorar.</t>
  </si>
  <si>
    <t>Nível</t>
  </si>
  <si>
    <t>Classificação</t>
  </si>
  <si>
    <t>Descritor comum</t>
  </si>
  <si>
    <t>0</t>
  </si>
  <si>
    <t>Não apresenta evidência técnica relevante OU não demonstra competência nos aspetos essenciais do subcritério. Zero obrigatório, independentemente da qualidade aparente do artefacto.</t>
  </si>
  <si>
    <t>1</t>
  </si>
  <si>
    <t>2–5</t>
  </si>
  <si>
    <t>Apresenta evidência muito limitada e um desempenho com falhas graves. Demonstra competência apenas em aspetos elementares, com aplicação deficiente e justificação frágil ou incompleta.</t>
  </si>
  <si>
    <t>2</t>
  </si>
  <si>
    <t>6–9</t>
  </si>
  <si>
    <t>Apresenta evidência parcial e um desempenho insuficiente. Aplica procedimentos e soluções com limitações relevantes e analisa ou justifica as decisões de forma incompleta.</t>
  </si>
  <si>
    <t>3</t>
  </si>
  <si>
    <t>10–13</t>
  </si>
  <si>
    <t>Apresenta evidência suficiente e um desempenho adequado nos aspetos essenciais. Desenvolve soluções pertinentes, analisa os resultados e justifica as principais decisões, embora com limitações identificáveis.</t>
  </si>
  <si>
    <t>4</t>
  </si>
  <si>
    <t>14–17</t>
  </si>
  <si>
    <t>Apresenta evidência sólida e um desempenho consistente e autónomo. Desenvolve soluções fundamentadas, avalia alternativas e compromissos e propõe melhorias adequadas.</t>
  </si>
  <si>
    <t>5</t>
  </si>
  <si>
    <t>18–20</t>
  </si>
  <si>
    <t>Apresenta evidência abrangente e um desempenho rigoroso e autónomo. Avalia criticamente soluções, resultados e consequências, fundamenta decisões e melhorias e reconhece limitações e condições de aplicação.</t>
  </si>
  <si>
    <t>Critério</t>
  </si>
  <si>
    <t>Subcritério</t>
  </si>
  <si>
    <t>Descritor específico</t>
  </si>
  <si>
    <t>Exemplos de evidências para o nível 5 (18–20)</t>
  </si>
  <si>
    <t>C1. O pipeline CI/CD está automatizado, é fiável e adequado</t>
  </si>
  <si>
    <t>C1.1 Instalação e configuração do Jenkins em dois contextos de execução</t>
  </si>
  <si>
    <t>Não apresenta evidência técnica relevante para este subcritério OU não demonstra competência nos seus aspetos essenciais. Zero obrigatório, independentemente da qualidade aparente do artefacto.</t>
  </si>
  <si>
    <t>C2. A estratégia e a suite de testes automatizados são adequadas</t>
  </si>
  <si>
    <t>C2.1 Testes funcionais de caixa opaca — classes</t>
  </si>
  <si>
    <t>C3. A solução foi analisada criticamente e melhorada com evidências</t>
  </si>
  <si>
    <t>C4. Os artefactos são consistentes e rastreáveis</t>
  </si>
  <si>
    <t>C4.1 Consistência entre requisitos, decisões, pipeline e testes</t>
  </si>
  <si>
    <t>#</t>
  </si>
  <si>
    <t>Critérios de avaliação</t>
  </si>
  <si>
    <t>C1</t>
  </si>
  <si>
    <t>O pipeline CI/CD está automatizado, é fiável e adequado</t>
  </si>
  <si>
    <t>C1.1</t>
  </si>
  <si>
    <t>Instalação e configuração do Jenkins em dois contextos de execução</t>
  </si>
  <si>
    <t>C1.2</t>
  </si>
  <si>
    <t>Integração com SCM e execução automática do pipeline</t>
  </si>
  <si>
    <t>C1.3</t>
  </si>
  <si>
    <t>Build, análise estática, packaging e testes automatizados</t>
  </si>
  <si>
    <t>C1.4</t>
  </si>
  <si>
    <t>C1.5</t>
  </si>
  <si>
    <t>Ambientes de desenvolvimento, staging e produção</t>
  </si>
  <si>
    <t>C2</t>
  </si>
  <si>
    <t>A estratégia e a suite de testes automatizados são adequadas</t>
  </si>
  <si>
    <t>C2.1</t>
  </si>
  <si>
    <t>Testes funcionais de caixa opaca — classes</t>
  </si>
  <si>
    <t>C2.2</t>
  </si>
  <si>
    <t>Testes funcionais de caixa transparente — domínio</t>
  </si>
  <si>
    <t>C2.3</t>
  </si>
  <si>
    <t>Testes de mutação — classes</t>
  </si>
  <si>
    <t>C2.4</t>
  </si>
  <si>
    <t>Testes de integração — conjunto de componentes</t>
  </si>
  <si>
    <t>C2.5</t>
  </si>
  <si>
    <t>Testes funcionais de sistema — caixa opaca</t>
  </si>
  <si>
    <t>C3</t>
  </si>
  <si>
    <t>A solução foi analisada criticamente e melhorada com evidências</t>
  </si>
  <si>
    <t>C3.1</t>
  </si>
  <si>
    <t>C3.2</t>
  </si>
  <si>
    <t>C3.3</t>
  </si>
  <si>
    <t>Análise crítica e melhoria mensurável de CI/CD e testes</t>
  </si>
  <si>
    <t>C4</t>
  </si>
  <si>
    <t>Os artefactos são consistentes e rastreáveis</t>
  </si>
  <si>
    <t>C4.1</t>
  </si>
  <si>
    <t>Consistência entre requisitos, decisões, pipeline e testes</t>
  </si>
  <si>
    <t>C4.2</t>
  </si>
  <si>
    <t>Rastreabilidade das decisões, alterações e evidências</t>
  </si>
  <si>
    <t>Classificação [0–20]</t>
  </si>
  <si>
    <t>Total [0–100%]</t>
  </si>
  <si>
    <t>Estado</t>
  </si>
  <si>
    <t>Deployment em destinos distintos</t>
  </si>
  <si>
    <t>Caracterização de CI/CD e testes no system-as-is</t>
  </si>
  <si>
    <t>Conceção fundamentada de CI/CD e testes no system-to-be</t>
  </si>
  <si>
    <t>Configuração e execução nos dois contextos, versões, plugins, conectividade, permissões e logs. Comparação fundamentada e limitações.</t>
  </si>
  <si>
    <t>Instala Jenkins apenas parcialmente, sem demonstrar dois contextos operacionais. Explica de forma frágil a configuração.</t>
  </si>
  <si>
    <t>Demonstra Jenkins em dois contextos, com falhas de conectividade, configuração ou execução. Justifica apenas parte das opções.</t>
  </si>
  <si>
    <t>Instala e configura Jenkins em dois contextos de execução. Demonstra conectividade e execução de jobs e explica as opções essenciais.</t>
  </si>
  <si>
    <t>Reproduz autonomamente a configuração nos dois contextos. Analisa permissões, dependências e falhas e justifica as opções.</t>
  </si>
  <si>
    <t>Valida rigorosamente os dois contextos com execuções reproduzíveis. Compara alternativas e fundamenta melhorias, limitações e riscos.</t>
  </si>
  <si>
    <t>Jenkinsfile versionado, configuração de disparo, commits, branches e logs de execução. Testes de falha e justificação das alternativas.</t>
  </si>
  <si>
    <t>Obtém código do SCM de forma incompleta ou depende de operações manuais sem explicar a integração.</t>
  </si>
  <si>
    <t>Integra SCM e pipeline parcialmente. Existem falhas no disparo automático ou na identificação da revisão executada.</t>
  </si>
  <si>
    <t>Mantém a especificação do pipeline no SCM e demonstra a sua execução automática. Identifica o commit e explica o mecanismo de disparo.</t>
  </si>
  <si>
    <t>Valida autonomamente disparos, branches e rastreabilidade. Analisa falhas de integração e fundamenta melhorias.</t>
  </si>
  <si>
    <t>Demonstra integração reproduzível e rastreável entre commits e execuções. Avalia alternativas de disparo e branches e valida melhorias e limites.</t>
  </si>
  <si>
    <t>Logs das quatro etapas, relatórios de análise e testes, artefactos versionados e execuções com sucesso e falha. Decisões justificadas.</t>
  </si>
  <si>
    <t>Implementa apenas etapas isoladas de build, análise estática, packaging ou testes, com falhas graves e explicação limitada.</t>
  </si>
  <si>
    <t>Executa parte das etapas, mas faltam resultados verificáveis ou tratamento coerente de falhas. A justificação é incompleta.</t>
  </si>
  <si>
    <t>Demonstra build, análise estática, packaging e testes automatizados. Explica a sequência, interpreta relatórios e identifica falhas relevantes.</t>
  </si>
  <si>
    <t>Integra autonomamente as etapas e os seus resultados. Justifica condições de progressão e analisa fiabilidade e melhorias.</t>
  </si>
  <si>
    <t>Valida as quatro etapas com execuções reproduzíveis, incluindo falhas. Compara opções e fundamenta melhorias de qualidade e fiabilidade.</t>
  </si>
  <si>
    <t>Procedimentos ou scripts, configurações por destino, logs, endpoints e verificações após deployment. Distinguir destino de ambiente lógico.</t>
  </si>
  <si>
    <t>Tenta efetuar deployment, mas não demonstra uma solução funcional em destinos distintos nem explica o procedimento.</t>
  </si>
  <si>
    <t>Demonstra deployment em destinos distintos com falhas relevantes de configuração, execução ou verificação.</t>
  </si>
  <si>
    <t>Efetua deployment em destinos distintos, verifica o funcionamento e explica os procedimentos e configurações de cada destino.</t>
  </si>
  <si>
    <t>Reproduz autonomamente o deployment nos destinos. Analisa diferenças, falhas e riscos e justifica melhorias no procedimento.</t>
  </si>
  <si>
    <t>Valida rigorosamente o deployment nos destinos com evidências reproduzíveis. Compara procedimentos e fundamenta decisões, melhorias e limites.</t>
  </si>
  <si>
    <t>Configurações e execuções em dev, staging e produção, isolamento, dados e promoção. Distinguir ambientes lógicos dos destinos de deployment.</t>
  </si>
  <si>
    <t>Refere desenvolvimento, staging e produção sem demonstrar a sua diferenciação ou funcionamento.</t>
  </si>
  <si>
    <t>Configura parcialmente os três ambientes, com lacunas de isolamento, parametrização ou validação.</t>
  </si>
  <si>
    <t>Demonstra desenvolvimento, staging e produção com configurações diferenciadas. Explica isolamento, utilização e passagem entre ambientes.</t>
  </si>
  <si>
    <t>Valida autonomamente os três ambientes. Justifica parametrização, isolamento e condições de promoção e analisa falhas.</t>
  </si>
  <si>
    <t>Valida os três ambientes com evidências reproduzíveis. Avalia alternativas de isolamento e promoção e fundamenta melhorias e riscos residuais.</t>
  </si>
  <si>
    <t>Especificação, partições, limites, casos positivos e negativos, resultados esperados e obtidos e melhorias justificadas, sem depender da estrutura interna.</t>
  </si>
  <si>
    <t>Cria testes de classes isolados, sem ligação clara à especificação nem resultados tecnicamente justificados.</t>
  </si>
  <si>
    <t>Deriva alguns testes da especificação, mas omite partições, limites ou resultados esperados relevantes.</t>
  </si>
  <si>
    <t>Deriva testes de classes a partir do comportamento especificado. Inclui partições, valores-limite e casos positivos e negativos pertinentes.</t>
  </si>
  <si>
    <t>Justifica autonomamente a seleção dos casos e os resultados esperados. Identifica lacunas e melhora a suite com evidências.</t>
  </si>
  <si>
    <t>Valida rigorosamente a adequação dos testes à especificação. Compara estratégias e demonstra melhorias, reconhecendo limitações de cobertura.</t>
  </si>
  <si>
    <t>Código de domínio, casos associados a decisões e ramos, relatórios de cobertura e análise de lacunas. Comparação antes/depois e limitações.</t>
  </si>
  <si>
    <t>Seleciona testes sem relacionar os casos com a estrutura do código de domínio. Não interpreta adequadamente os resultados.</t>
  </si>
  <si>
    <t>Relaciona alguns testes com o código de domínio, mas deixa ramos ou condições relevantes sem análise.</t>
  </si>
  <si>
    <t>Seleciona testes a partir da estrutura do domínio. Analisa cobertura de ramos e condições pertinentes e explica as lacunas.</t>
  </si>
  <si>
    <t>Justifica autonomamente os caminhos exercitados. Investiga lacunas de cobertura e valida testes adicionais relevantes.</t>
  </si>
  <si>
    <t>Avalia criticamente cobertura e eficácia dos testes do domínio. Valida melhorias e explica caminhos inviáveis e limites das métricas.</t>
  </si>
  <si>
    <t>Configuração e relatórios de mutação, sobreviventes analisados, exclusões justificadas, testes acrescentados e nova medição comparável.</t>
  </si>
  <si>
    <t>Executa ou configura mutações de forma incipiente, sem interpretar a capacidade dos testes para detetar defeitos.</t>
  </si>
  <si>
    <t>Obtém resultados de mutação, mas analisa poucos sobreviventes ou interpreta incompletamente o mutation score.</t>
  </si>
  <si>
    <t>Executa testes de mutação nas classes. Interpreta o mutation score, analisa sobreviventes relevantes e identifica lacunas da suite.</t>
  </si>
  <si>
    <t>Distingue autonomamente mutantes relevantes, equivalentes ou não exercitados. Acrescenta testes e mede o efeito das melhorias.</t>
  </si>
  <si>
    <t>Valida criticamente as melhorias com nova medição reproduzível. Justifica exclusões e discute equivalência, custos e limites do mutation score.</t>
  </si>
  <si>
    <t>Fluxos entre componentes pertinentes, contratos, dependências e dados controlados. Resultados de sucesso e erro e justificação de componentes reais e substitutos.</t>
  </si>
  <si>
    <t>Apresenta testes isolados sem demonstrar interações relevantes entre componentes nem justificar os isolamentos.</t>
  </si>
  <si>
    <t>Testa algumas interações, mas deixa contratos, dependências ou cenários de erro relevantes sem verificação.</t>
  </si>
  <si>
    <t>Verifica interações relevantes entre componentes. Explica contratos, dados, dependências e isolamentos e interpreta os resultados.</t>
  </si>
  <si>
    <t>Valida autonomamente fluxos e erros de integração. Justifica componentes reais e substitutos e melhora os testes com evidências.</t>
  </si>
  <si>
    <t>Avalia rigorosamente a adequação dos testes às integrações. Compara estratégias, valida melhorias e reconhece riscos dos isolamentos.</t>
  </si>
  <si>
    <t>Cenários ponta a ponta derivados dos requisitos, pré-condições, dados, resultados esperados e obtidos. Execuções reproduzíveis e análise de limitações.</t>
  </si>
  <si>
    <t>Apresenta cenários de sistema incompletos ou sem resultados verificáveis nas interfaces externas.</t>
  </si>
  <si>
    <t>Automatiza alguns cenários externos, mas omite pré-condições, dados, resultados esperados ou fluxos relevantes.</t>
  </si>
  <si>
    <t>Valida funcionalidades pelas interfaces externas com testes automatizados. Define pré-condições, dados e resultados esperados e interpreta a execução.</t>
  </si>
  <si>
    <t>Valida autonomamente cenários ponta a ponta positivos e negativos. Analisa estabilidade, lacunas e integração na execução de testes.</t>
  </si>
  <si>
    <t>Avalia criticamente a cobertura funcional de sistema. Valida melhorias reproduzíveis e justifica compromissos de isolamento, custo e estabilidade.</t>
  </si>
  <si>
    <t>C3.1 Caracterização de CI/CD e testes no system-as-is</t>
  </si>
  <si>
    <t>Inventário e fluxo de CI/CD, configuração, suite e estratégia de testes, execuções e métricas iniciais. Problemas, causas e prioridades fundamentadas.</t>
  </si>
  <si>
    <t>Descreve fragmentos de CI/CD ou testes existentes sem estabelecer uma caracterização verificável do system-as-is.</t>
  </si>
  <si>
    <t>Caracteriza parcialmente CI/CD e testes, com lacunas nos fluxos, ferramentas, resultados ou problemas identificados.</t>
  </si>
  <si>
    <t>Caracteriza CI/CD e testes no system-as-is. Documenta fluxos, ferramentas, suite, resultados e limitações com evidências iniciais.</t>
  </si>
  <si>
    <t>Analisa autonomamente CI/CD e testes existentes. Relaciona métricas e falhas com causas e fundamenta prioridades de melhoria.</t>
  </si>
  <si>
    <t>Estabelece uma baseline reproduzível de CI/CD e testes. Valida o diagnóstico, compara interpretações e justifica prioridades e limites da análise.</t>
  </si>
  <si>
    <t>Conceção do pipeline e ambientes, estratégia e níveis de testes, requisitos, alternativas, decisões e plano de validação. Ligação ao diagnóstico do system-as-is.</t>
  </si>
  <si>
    <t>Propõe alterações isoladas, sem uma conceção coerente de CI/CD e testes para o system-to-be.</t>
  </si>
  <si>
    <t>Concebe parcialmente CI/CD e testes, mas deixa requisitos, etapas, estratégia ou decisões relevantes sem fundamentação.</t>
  </si>
  <si>
    <t>Concebe CI/CD e testes para o system-to-be a partir do diagnóstico. Define pipeline, ambientes, estratégia de testes e decisões essenciais.</t>
  </si>
  <si>
    <t>Compara autonomamente alternativas para CI/CD e testes. Justifica compromissos, riscos e critérios verificáveis de validação.</t>
  </si>
  <si>
    <t>Fundamenta rigorosamente a conceção integrada de CI/CD e testes. Avalia alternativas, viabilidade e riscos e define validação ligada à baseline.</t>
  </si>
  <si>
    <t>Baseline e medições após alterações em condições comparáveis: tempos, fiabilidade e eficácia dos testes. Análise de causas, regressões e compromissos.</t>
  </si>
  <si>
    <t>Afirma melhorias em CI/CD ou testes sem comparação verificável nem interpretação tecnicamente fundamentada.</t>
  </si>
  <si>
    <t>Apresenta comparações parciais, com métricas pouco justificadas ou condições que limitam as conclusões.</t>
  </si>
  <si>
    <t>Compara CI/CD e testes antes e depois com métricas pertinentes. Interpreta resultados e relaciona alterações com melhorias e limitações.</t>
  </si>
  <si>
    <t>Analisa autonomamente causas e compromissos de CI/CD e testes. Usa medições comparáveis para validar melhorias e discutir regressões.</t>
  </si>
  <si>
    <t>Valida melhorias mensuráveis e reproduzíveis de CI/CD e testes. Discute variabilidade, causalidade, regressões e limites das conclusões.</t>
  </si>
  <si>
    <t>Comparação de requisitos e decisões com Jenkinsfile, configurações, testes e logs da mesma versão. Divergências analisadas e correções verificadas.</t>
  </si>
  <si>
    <t>Apresenta contradições graves entre requisitos, decisões, pipeline e testes e não as explica tecnicamente.</t>
  </si>
  <si>
    <t>Verifica apenas parte da consistência. Persistem divergências relevantes entre documentação, configuração e execução.</t>
  </si>
  <si>
    <t>Demonstra consistência essencial entre requisitos, decisões, pipeline e testes. Identifica e explica divergências relevantes.</t>
  </si>
  <si>
    <t>Verifica autonomamente a consistência entre artefactos e execução. Analisa o impacto de divergências e valida correções.</t>
  </si>
  <si>
    <t>Valida rigorosamente a consistência na mesma versão da solução. Investiga discrepâncias e fundamenta correções e limitações residuais.</t>
  </si>
  <si>
    <t>Ligações entre objetivos, decisões, alterações, commits, execuções, relatórios e conclusões. Versões identificadas e análise de impacto verificável.</t>
  </si>
  <si>
    <t>Apresenta decisões, alterações e resultados sem ligações verificáveis entre si.</t>
  </si>
  <si>
    <t>Liga apenas parte dos objetivos, alterações e evidências. Faltam versões ou referências necessárias para confirmar conclusões.</t>
  </si>
  <si>
    <t>Relaciona objetivos e decisões com alterações, commits e resultados. Permite localizar as evidências que sustentam as conclusões.</t>
  </si>
  <si>
    <t>Mantém autonomamente ligações verificáveis entre decisões, alterações e evidências. Analisa impacto e valida a correspondência entre versões.</t>
  </si>
  <si>
    <t>Demonstra rastreabilidade rigorosa e reproduzível desde os objetivos até às conclusões. Analisa impacto e reconhece lacunas e limites das evidências.</t>
  </si>
  <si>
    <t>Peso com extras</t>
  </si>
  <si>
    <t>Nome Exemplo 1</t>
  </si>
  <si>
    <t>Nome Exemplo 2</t>
  </si>
  <si>
    <t>Número Exemplo 1</t>
  </si>
  <si>
    <t>Número Exemplo 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</si>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</sst>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name val="Carlito"/>
    </font>
    <font>
      <sz val="11"/>
      <name val="Carlito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/>
    <xf numFmtId="9" fontId="2" fillId="0" borderId="1" xfId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0" fontId="2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10" fontId="2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</cellXfs>
  <cellStyles count="2">
    <cellStyle name="Normal" xfId="0" builtinId="0"/>
    <cellStyle name="Per 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13" zoomScaleNormal="113" workbookViewId="0">
      <selection activeCell="A2" sqref="A2"/>
    </sheetView>
  </sheetViews>
  <sheetFormatPr baseColWidth="10" defaultColWidth="8.83203125" defaultRowHeight="15"/>
  <cols>
    <col min="1" max="1" width="32" style="1" customWidth="1"/>
    <col min="2" max="2" width="95" style="1" customWidth="1"/>
    <col min="3" max="16384" width="8.83203125" style="1"/>
  </cols>
  <sheetData>
    <row r="1" spans="1:2" ht="16">
      <c r="A1" s="22" t="s">
        <v>0</v>
      </c>
      <c r="B1" s="22" t="s">
        <v>1</v>
      </c>
    </row>
    <row r="2" spans="1:2" ht="51">
      <c r="A2" s="23" t="s">
        <v>2</v>
      </c>
      <c r="B2" s="23" t="s">
        <v>3</v>
      </c>
    </row>
    <row r="3" spans="1:2" ht="34">
      <c r="A3" s="23" t="s">
        <v>4</v>
      </c>
      <c r="B3" s="23" t="s">
        <v>5</v>
      </c>
    </row>
    <row r="4" spans="1:2" ht="34">
      <c r="A4" s="23" t="s">
        <v>6</v>
      </c>
      <c r="B4" s="23" t="s">
        <v>7</v>
      </c>
    </row>
    <row r="5" spans="1:2" ht="51">
      <c r="A5" s="23" t="s">
        <v>8</v>
      </c>
      <c r="B5" s="23" t="s">
        <v>9</v>
      </c>
    </row>
    <row r="6" spans="1:2" ht="34">
      <c r="A6" s="23" t="s">
        <v>10</v>
      </c>
      <c r="B6" s="23" t="s">
        <v>11</v>
      </c>
    </row>
    <row r="7" spans="1:2" ht="51">
      <c r="A7" s="23" t="s">
        <v>12</v>
      </c>
      <c r="B7" s="23" t="s">
        <v>13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zoomScale="108" zoomScaleNormal="108" workbookViewId="0">
      <pane xSplit="2" ySplit="9" topLeftCell="C78" activePane="bottomRight" state="frozen"/>
      <selection pane="topRight" activeCell="C1" sqref="C1"/>
      <selection pane="bottomLeft" activeCell="A10" sqref="A10"/>
      <selection pane="bottomRight" activeCell="D11" sqref="D11"/>
    </sheetView>
  </sheetViews>
  <sheetFormatPr baseColWidth="10" defaultColWidth="8.83203125" defaultRowHeight="15"/>
  <cols>
    <col min="1" max="1" width="18.5" style="2" customWidth="1"/>
    <col min="2" max="2" width="16.33203125" style="2" customWidth="1"/>
    <col min="3" max="3" width="12.6640625" style="3" customWidth="1"/>
    <col min="4" max="4" width="105" style="4" customWidth="1"/>
    <col min="5" max="5" width="87" style="1" customWidth="1"/>
    <col min="6" max="16384" width="8.83203125" style="1"/>
  </cols>
  <sheetData>
    <row r="1" spans="1:5" s="14" customFormat="1" ht="30" customHeight="1">
      <c r="A1" s="3"/>
      <c r="B1" s="5" t="s">
        <v>14</v>
      </c>
      <c r="C1" s="5" t="s">
        <v>15</v>
      </c>
      <c r="D1" s="12" t="s">
        <v>16</v>
      </c>
    </row>
    <row r="2" spans="1:5" ht="32">
      <c r="B2" s="7" t="s">
        <v>17</v>
      </c>
      <c r="C2" s="7" t="s">
        <v>17</v>
      </c>
      <c r="D2" s="8" t="s">
        <v>18</v>
      </c>
    </row>
    <row r="3" spans="1:5" ht="32">
      <c r="B3" s="7" t="s">
        <v>19</v>
      </c>
      <c r="C3" s="7" t="s">
        <v>20</v>
      </c>
      <c r="D3" s="8" t="s">
        <v>21</v>
      </c>
    </row>
    <row r="4" spans="1:5" ht="32">
      <c r="B4" s="7" t="s">
        <v>22</v>
      </c>
      <c r="C4" s="7" t="s">
        <v>23</v>
      </c>
      <c r="D4" s="8" t="s">
        <v>24</v>
      </c>
    </row>
    <row r="5" spans="1:5" ht="32">
      <c r="B5" s="7" t="s">
        <v>25</v>
      </c>
      <c r="C5" s="7" t="s">
        <v>26</v>
      </c>
      <c r="D5" s="8" t="s">
        <v>27</v>
      </c>
    </row>
    <row r="6" spans="1:5" ht="32">
      <c r="B6" s="7" t="s">
        <v>28</v>
      </c>
      <c r="C6" s="7" t="s">
        <v>29</v>
      </c>
      <c r="D6" s="8" t="s">
        <v>30</v>
      </c>
    </row>
    <row r="7" spans="1:5" ht="32">
      <c r="B7" s="7" t="s">
        <v>31</v>
      </c>
      <c r="C7" s="7" t="s">
        <v>32</v>
      </c>
      <c r="D7" s="8" t="s">
        <v>33</v>
      </c>
    </row>
    <row r="8" spans="1:5" ht="23" customHeight="1"/>
    <row r="9" spans="1:5" s="13" customFormat="1" ht="30" customHeight="1">
      <c r="A9" s="5" t="s">
        <v>34</v>
      </c>
      <c r="B9" s="5" t="s">
        <v>35</v>
      </c>
      <c r="C9" s="5" t="s">
        <v>15</v>
      </c>
      <c r="D9" s="12" t="s">
        <v>36</v>
      </c>
      <c r="E9" s="10" t="s">
        <v>37</v>
      </c>
    </row>
    <row r="10" spans="1:5" ht="32">
      <c r="A10" s="30" t="s">
        <v>38</v>
      </c>
      <c r="B10" s="30" t="s">
        <v>39</v>
      </c>
      <c r="C10" s="7" t="s">
        <v>17</v>
      </c>
      <c r="D10" s="8" t="s">
        <v>40</v>
      </c>
      <c r="E10" s="31" t="s">
        <v>89</v>
      </c>
    </row>
    <row r="11" spans="1:5" ht="16">
      <c r="A11" s="30"/>
      <c r="B11" s="30"/>
      <c r="C11" s="7" t="s">
        <v>20</v>
      </c>
      <c r="D11" s="8" t="s">
        <v>90</v>
      </c>
      <c r="E11" s="31"/>
    </row>
    <row r="12" spans="1:5" ht="16">
      <c r="A12" s="30"/>
      <c r="B12" s="30"/>
      <c r="C12" s="7" t="s">
        <v>23</v>
      </c>
      <c r="D12" s="8" t="s">
        <v>91</v>
      </c>
      <c r="E12" s="31"/>
    </row>
    <row r="13" spans="1:5" ht="16">
      <c r="A13" s="30"/>
      <c r="B13" s="30"/>
      <c r="C13" s="7" t="s">
        <v>26</v>
      </c>
      <c r="D13" s="8" t="s">
        <v>92</v>
      </c>
      <c r="E13" s="31"/>
    </row>
    <row r="14" spans="1:5" ht="16">
      <c r="A14" s="30"/>
      <c r="B14" s="30"/>
      <c r="C14" s="7" t="s">
        <v>29</v>
      </c>
      <c r="D14" s="8" t="s">
        <v>93</v>
      </c>
      <c r="E14" s="31"/>
    </row>
    <row r="15" spans="1:5">
      <c r="A15" s="30"/>
      <c r="B15" s="30"/>
      <c r="C15" s="7" t="s">
        <v>32</v>
      </c>
      <c r="D15" s="9" t="s">
        <v>94</v>
      </c>
      <c r="E15" s="31"/>
    </row>
    <row r="16" spans="1:5" ht="32">
      <c r="A16" s="30"/>
      <c r="B16" s="30" t="s">
        <v>39</v>
      </c>
      <c r="C16" s="7" t="s">
        <v>17</v>
      </c>
      <c r="D16" s="8" t="s">
        <v>40</v>
      </c>
      <c r="E16" s="31" t="s">
        <v>95</v>
      </c>
    </row>
    <row r="17" spans="1:5" ht="16">
      <c r="A17" s="30"/>
      <c r="B17" s="30"/>
      <c r="C17" s="7" t="s">
        <v>20</v>
      </c>
      <c r="D17" s="8" t="s">
        <v>96</v>
      </c>
      <c r="E17" s="31"/>
    </row>
    <row r="18" spans="1:5" ht="16">
      <c r="A18" s="30"/>
      <c r="B18" s="30"/>
      <c r="C18" s="7" t="s">
        <v>23</v>
      </c>
      <c r="D18" s="8" t="s">
        <v>97</v>
      </c>
      <c r="E18" s="31"/>
    </row>
    <row r="19" spans="1:5">
      <c r="A19" s="30"/>
      <c r="B19" s="30"/>
      <c r="C19" s="7" t="s">
        <v>26</v>
      </c>
      <c r="D19" s="9" t="s">
        <v>98</v>
      </c>
      <c r="E19" s="31"/>
    </row>
    <row r="20" spans="1:5" ht="16">
      <c r="A20" s="30"/>
      <c r="B20" s="30"/>
      <c r="C20" s="7" t="s">
        <v>29</v>
      </c>
      <c r="D20" s="8" t="s">
        <v>99</v>
      </c>
      <c r="E20" s="31"/>
    </row>
    <row r="21" spans="1:5" ht="32">
      <c r="A21" s="30"/>
      <c r="B21" s="30"/>
      <c r="C21" s="7" t="s">
        <v>32</v>
      </c>
      <c r="D21" s="8" t="s">
        <v>100</v>
      </c>
      <c r="E21" s="31"/>
    </row>
    <row r="22" spans="1:5" ht="32">
      <c r="A22" s="30"/>
      <c r="B22" s="30" t="s">
        <v>39</v>
      </c>
      <c r="C22" s="7" t="s">
        <v>17</v>
      </c>
      <c r="D22" s="8" t="s">
        <v>40</v>
      </c>
      <c r="E22" s="31" t="s">
        <v>101</v>
      </c>
    </row>
    <row r="23" spans="1:5" ht="16">
      <c r="A23" s="30"/>
      <c r="B23" s="30"/>
      <c r="C23" s="7" t="s">
        <v>20</v>
      </c>
      <c r="D23" s="8" t="s">
        <v>102</v>
      </c>
      <c r="E23" s="31"/>
    </row>
    <row r="24" spans="1:5" ht="16">
      <c r="A24" s="30"/>
      <c r="B24" s="30"/>
      <c r="C24" s="7" t="s">
        <v>23</v>
      </c>
      <c r="D24" s="8" t="s">
        <v>103</v>
      </c>
      <c r="E24" s="31"/>
    </row>
    <row r="25" spans="1:5">
      <c r="A25" s="30"/>
      <c r="B25" s="30"/>
      <c r="C25" s="7" t="s">
        <v>26</v>
      </c>
      <c r="D25" s="9" t="s">
        <v>104</v>
      </c>
      <c r="E25" s="31"/>
    </row>
    <row r="26" spans="1:5" ht="16">
      <c r="A26" s="30"/>
      <c r="B26" s="30"/>
      <c r="C26" s="7" t="s">
        <v>29</v>
      </c>
      <c r="D26" s="8" t="s">
        <v>105</v>
      </c>
      <c r="E26" s="31"/>
    </row>
    <row r="27" spans="1:5">
      <c r="A27" s="30"/>
      <c r="B27" s="30"/>
      <c r="C27" s="7" t="s">
        <v>32</v>
      </c>
      <c r="D27" s="9" t="s">
        <v>106</v>
      </c>
      <c r="E27" s="31"/>
    </row>
    <row r="28" spans="1:5" ht="32">
      <c r="A28" s="30"/>
      <c r="B28" s="30" t="s">
        <v>39</v>
      </c>
      <c r="C28" s="7" t="s">
        <v>17</v>
      </c>
      <c r="D28" s="8" t="s">
        <v>40</v>
      </c>
      <c r="E28" s="31" t="s">
        <v>107</v>
      </c>
    </row>
    <row r="29" spans="1:5" ht="16">
      <c r="A29" s="30"/>
      <c r="B29" s="30"/>
      <c r="C29" s="7" t="s">
        <v>20</v>
      </c>
      <c r="D29" s="8" t="s">
        <v>108</v>
      </c>
      <c r="E29" s="31"/>
    </row>
    <row r="30" spans="1:5" ht="16">
      <c r="A30" s="30"/>
      <c r="B30" s="30"/>
      <c r="C30" s="7" t="s">
        <v>23</v>
      </c>
      <c r="D30" s="8" t="s">
        <v>109</v>
      </c>
      <c r="E30" s="31"/>
    </row>
    <row r="31" spans="1:5" ht="16">
      <c r="A31" s="30"/>
      <c r="B31" s="30"/>
      <c r="C31" s="7" t="s">
        <v>26</v>
      </c>
      <c r="D31" s="8" t="s">
        <v>110</v>
      </c>
      <c r="E31" s="31"/>
    </row>
    <row r="32" spans="1:5" ht="16">
      <c r="A32" s="30"/>
      <c r="B32" s="30"/>
      <c r="C32" s="7" t="s">
        <v>29</v>
      </c>
      <c r="D32" s="8" t="s">
        <v>111</v>
      </c>
      <c r="E32" s="31"/>
    </row>
    <row r="33" spans="1:5" ht="32">
      <c r="A33" s="30"/>
      <c r="B33" s="30"/>
      <c r="C33" s="7" t="s">
        <v>32</v>
      </c>
      <c r="D33" s="8" t="s">
        <v>112</v>
      </c>
      <c r="E33" s="31"/>
    </row>
    <row r="34" spans="1:5" ht="32">
      <c r="A34" s="30"/>
      <c r="B34" s="30" t="s">
        <v>39</v>
      </c>
      <c r="C34" s="7" t="s">
        <v>17</v>
      </c>
      <c r="D34" s="8" t="s">
        <v>40</v>
      </c>
      <c r="E34" s="31" t="s">
        <v>113</v>
      </c>
    </row>
    <row r="35" spans="1:5" ht="16">
      <c r="A35" s="30"/>
      <c r="B35" s="30"/>
      <c r="C35" s="7" t="s">
        <v>20</v>
      </c>
      <c r="D35" s="8" t="s">
        <v>114</v>
      </c>
      <c r="E35" s="31"/>
    </row>
    <row r="36" spans="1:5" ht="16">
      <c r="A36" s="30"/>
      <c r="B36" s="30"/>
      <c r="C36" s="7" t="s">
        <v>23</v>
      </c>
      <c r="D36" s="8" t="s">
        <v>115</v>
      </c>
      <c r="E36" s="31"/>
    </row>
    <row r="37" spans="1:5" ht="32">
      <c r="A37" s="30"/>
      <c r="B37" s="30"/>
      <c r="C37" s="7" t="s">
        <v>26</v>
      </c>
      <c r="D37" s="8" t="s">
        <v>116</v>
      </c>
      <c r="E37" s="31"/>
    </row>
    <row r="38" spans="1:5" ht="16">
      <c r="A38" s="30"/>
      <c r="B38" s="30"/>
      <c r="C38" s="7" t="s">
        <v>29</v>
      </c>
      <c r="D38" s="8" t="s">
        <v>117</v>
      </c>
      <c r="E38" s="31"/>
    </row>
    <row r="39" spans="1:5" ht="32">
      <c r="A39" s="30"/>
      <c r="B39" s="30"/>
      <c r="C39" s="7" t="s">
        <v>32</v>
      </c>
      <c r="D39" s="8" t="s">
        <v>118</v>
      </c>
      <c r="E39" s="31"/>
    </row>
    <row r="40" spans="1:5" ht="32">
      <c r="A40" s="30" t="s">
        <v>41</v>
      </c>
      <c r="B40" s="30" t="s">
        <v>42</v>
      </c>
      <c r="C40" s="7" t="s">
        <v>17</v>
      </c>
      <c r="D40" s="8" t="s">
        <v>40</v>
      </c>
      <c r="E40" s="31" t="s">
        <v>119</v>
      </c>
    </row>
    <row r="41" spans="1:5" ht="16">
      <c r="A41" s="30"/>
      <c r="B41" s="30"/>
      <c r="C41" s="7" t="s">
        <v>20</v>
      </c>
      <c r="D41" s="8" t="s">
        <v>120</v>
      </c>
      <c r="E41" s="31"/>
    </row>
    <row r="42" spans="1:5" ht="16">
      <c r="A42" s="30"/>
      <c r="B42" s="30"/>
      <c r="C42" s="7" t="s">
        <v>23</v>
      </c>
      <c r="D42" s="8" t="s">
        <v>121</v>
      </c>
      <c r="E42" s="31"/>
    </row>
    <row r="43" spans="1:5">
      <c r="A43" s="30"/>
      <c r="B43" s="30"/>
      <c r="C43" s="7" t="s">
        <v>26</v>
      </c>
      <c r="D43" s="9" t="s">
        <v>122</v>
      </c>
      <c r="E43" s="31"/>
    </row>
    <row r="44" spans="1:5" ht="16">
      <c r="A44" s="30"/>
      <c r="B44" s="30"/>
      <c r="C44" s="7" t="s">
        <v>29</v>
      </c>
      <c r="D44" s="8" t="s">
        <v>123</v>
      </c>
      <c r="E44" s="31"/>
    </row>
    <row r="45" spans="1:5" ht="32">
      <c r="A45" s="30"/>
      <c r="B45" s="30"/>
      <c r="C45" s="7" t="s">
        <v>32</v>
      </c>
      <c r="D45" s="8" t="s">
        <v>124</v>
      </c>
      <c r="E45" s="31"/>
    </row>
    <row r="46" spans="1:5" ht="32">
      <c r="A46" s="30"/>
      <c r="B46" s="30" t="s">
        <v>42</v>
      </c>
      <c r="C46" s="7" t="s">
        <v>17</v>
      </c>
      <c r="D46" s="8" t="s">
        <v>40</v>
      </c>
      <c r="E46" s="31" t="s">
        <v>125</v>
      </c>
    </row>
    <row r="47" spans="1:5" ht="16">
      <c r="A47" s="30"/>
      <c r="B47" s="30"/>
      <c r="C47" s="7" t="s">
        <v>20</v>
      </c>
      <c r="D47" s="8" t="s">
        <v>126</v>
      </c>
      <c r="E47" s="31"/>
    </row>
    <row r="48" spans="1:5" ht="16">
      <c r="A48" s="30"/>
      <c r="B48" s="30"/>
      <c r="C48" s="7" t="s">
        <v>23</v>
      </c>
      <c r="D48" s="8" t="s">
        <v>127</v>
      </c>
      <c r="E48" s="31"/>
    </row>
    <row r="49" spans="1:5" ht="16">
      <c r="A49" s="30"/>
      <c r="B49" s="30"/>
      <c r="C49" s="7" t="s">
        <v>26</v>
      </c>
      <c r="D49" s="8" t="s">
        <v>128</v>
      </c>
      <c r="E49" s="31"/>
    </row>
    <row r="50" spans="1:5" ht="16">
      <c r="A50" s="30"/>
      <c r="B50" s="30"/>
      <c r="C50" s="7" t="s">
        <v>29</v>
      </c>
      <c r="D50" s="8" t="s">
        <v>129</v>
      </c>
      <c r="E50" s="31"/>
    </row>
    <row r="51" spans="1:5" ht="16">
      <c r="A51" s="30"/>
      <c r="B51" s="30"/>
      <c r="C51" s="7" t="s">
        <v>32</v>
      </c>
      <c r="D51" s="8" t="s">
        <v>130</v>
      </c>
      <c r="E51" s="31"/>
    </row>
    <row r="52" spans="1:5" ht="32">
      <c r="A52" s="30"/>
      <c r="B52" s="30" t="s">
        <v>42</v>
      </c>
      <c r="C52" s="7" t="s">
        <v>17</v>
      </c>
      <c r="D52" s="8" t="s">
        <v>40</v>
      </c>
      <c r="E52" s="31" t="s">
        <v>131</v>
      </c>
    </row>
    <row r="53" spans="1:5" ht="16">
      <c r="A53" s="30"/>
      <c r="B53" s="30"/>
      <c r="C53" s="7" t="s">
        <v>20</v>
      </c>
      <c r="D53" s="8" t="s">
        <v>132</v>
      </c>
      <c r="E53" s="31"/>
    </row>
    <row r="54" spans="1:5" ht="16">
      <c r="A54" s="30"/>
      <c r="B54" s="30"/>
      <c r="C54" s="7" t="s">
        <v>23</v>
      </c>
      <c r="D54" s="8" t="s">
        <v>133</v>
      </c>
      <c r="E54" s="31"/>
    </row>
    <row r="55" spans="1:5" ht="16">
      <c r="A55" s="30"/>
      <c r="B55" s="30"/>
      <c r="C55" s="7" t="s">
        <v>26</v>
      </c>
      <c r="D55" s="8" t="s">
        <v>134</v>
      </c>
      <c r="E55" s="31"/>
    </row>
    <row r="56" spans="1:5" ht="16">
      <c r="A56" s="30"/>
      <c r="B56" s="30"/>
      <c r="C56" s="7" t="s">
        <v>29</v>
      </c>
      <c r="D56" s="8" t="s">
        <v>135</v>
      </c>
      <c r="E56" s="31"/>
    </row>
    <row r="57" spans="1:5" ht="32">
      <c r="A57" s="30"/>
      <c r="B57" s="30"/>
      <c r="C57" s="7" t="s">
        <v>32</v>
      </c>
      <c r="D57" s="8" t="s">
        <v>136</v>
      </c>
      <c r="E57" s="31"/>
    </row>
    <row r="58" spans="1:5" ht="32">
      <c r="A58" s="30"/>
      <c r="B58" s="30" t="s">
        <v>42</v>
      </c>
      <c r="C58" s="7" t="s">
        <v>17</v>
      </c>
      <c r="D58" s="8" t="s">
        <v>40</v>
      </c>
      <c r="E58" s="31" t="s">
        <v>137</v>
      </c>
    </row>
    <row r="59" spans="1:5" ht="16">
      <c r="A59" s="30"/>
      <c r="B59" s="30"/>
      <c r="C59" s="7" t="s">
        <v>20</v>
      </c>
      <c r="D59" s="8" t="s">
        <v>138</v>
      </c>
      <c r="E59" s="31"/>
    </row>
    <row r="60" spans="1:5" ht="16">
      <c r="A60" s="30"/>
      <c r="B60" s="30"/>
      <c r="C60" s="7" t="s">
        <v>23</v>
      </c>
      <c r="D60" s="8" t="s">
        <v>139</v>
      </c>
      <c r="E60" s="31"/>
    </row>
    <row r="61" spans="1:5" ht="16">
      <c r="A61" s="30"/>
      <c r="B61" s="30"/>
      <c r="C61" s="7" t="s">
        <v>26</v>
      </c>
      <c r="D61" s="8" t="s">
        <v>140</v>
      </c>
      <c r="E61" s="31"/>
    </row>
    <row r="62" spans="1:5" ht="16">
      <c r="A62" s="30"/>
      <c r="B62" s="30"/>
      <c r="C62" s="7" t="s">
        <v>29</v>
      </c>
      <c r="D62" s="8" t="s">
        <v>141</v>
      </c>
      <c r="E62" s="31"/>
    </row>
    <row r="63" spans="1:5" ht="16">
      <c r="A63" s="30"/>
      <c r="B63" s="30"/>
      <c r="C63" s="7" t="s">
        <v>32</v>
      </c>
      <c r="D63" s="8" t="s">
        <v>142</v>
      </c>
      <c r="E63" s="31"/>
    </row>
    <row r="64" spans="1:5" ht="32">
      <c r="A64" s="30"/>
      <c r="B64" s="30" t="s">
        <v>42</v>
      </c>
      <c r="C64" s="7" t="s">
        <v>17</v>
      </c>
      <c r="D64" s="8" t="s">
        <v>40</v>
      </c>
      <c r="E64" s="31" t="s">
        <v>143</v>
      </c>
    </row>
    <row r="65" spans="1:5" ht="16">
      <c r="A65" s="30"/>
      <c r="B65" s="30"/>
      <c r="C65" s="7" t="s">
        <v>20</v>
      </c>
      <c r="D65" s="8" t="s">
        <v>144</v>
      </c>
      <c r="E65" s="31"/>
    </row>
    <row r="66" spans="1:5" ht="16">
      <c r="A66" s="30"/>
      <c r="B66" s="30"/>
      <c r="C66" s="7" t="s">
        <v>23</v>
      </c>
      <c r="D66" s="8" t="s">
        <v>145</v>
      </c>
      <c r="E66" s="31"/>
    </row>
    <row r="67" spans="1:5" ht="32">
      <c r="A67" s="30"/>
      <c r="B67" s="30"/>
      <c r="C67" s="7" t="s">
        <v>26</v>
      </c>
      <c r="D67" s="8" t="s">
        <v>146</v>
      </c>
      <c r="E67" s="31"/>
    </row>
    <row r="68" spans="1:5" ht="16">
      <c r="A68" s="30"/>
      <c r="B68" s="30"/>
      <c r="C68" s="7" t="s">
        <v>29</v>
      </c>
      <c r="D68" s="8" t="s">
        <v>147</v>
      </c>
      <c r="E68" s="31"/>
    </row>
    <row r="69" spans="1:5" ht="32">
      <c r="A69" s="30"/>
      <c r="B69" s="30"/>
      <c r="C69" s="7" t="s">
        <v>32</v>
      </c>
      <c r="D69" s="8" t="s">
        <v>148</v>
      </c>
      <c r="E69" s="31"/>
    </row>
    <row r="70" spans="1:5" ht="32">
      <c r="A70" s="30" t="s">
        <v>43</v>
      </c>
      <c r="B70" s="30" t="s">
        <v>149</v>
      </c>
      <c r="C70" s="7" t="s">
        <v>17</v>
      </c>
      <c r="D70" s="8" t="s">
        <v>40</v>
      </c>
      <c r="E70" s="31" t="s">
        <v>150</v>
      </c>
    </row>
    <row r="71" spans="1:5" ht="16">
      <c r="A71" s="30"/>
      <c r="B71" s="30"/>
      <c r="C71" s="7" t="s">
        <v>20</v>
      </c>
      <c r="D71" s="8" t="s">
        <v>151</v>
      </c>
      <c r="E71" s="31"/>
    </row>
    <row r="72" spans="1:5" ht="16">
      <c r="A72" s="30"/>
      <c r="B72" s="30"/>
      <c r="C72" s="7" t="s">
        <v>23</v>
      </c>
      <c r="D72" s="8" t="s">
        <v>152</v>
      </c>
      <c r="E72" s="31"/>
    </row>
    <row r="73" spans="1:5" ht="16">
      <c r="A73" s="30"/>
      <c r="B73" s="30"/>
      <c r="C73" s="7" t="s">
        <v>26</v>
      </c>
      <c r="D73" s="8" t="s">
        <v>153</v>
      </c>
      <c r="E73" s="31"/>
    </row>
    <row r="74" spans="1:5" ht="16">
      <c r="A74" s="30"/>
      <c r="B74" s="30"/>
      <c r="C74" s="7" t="s">
        <v>29</v>
      </c>
      <c r="D74" s="8" t="s">
        <v>154</v>
      </c>
      <c r="E74" s="31"/>
    </row>
    <row r="75" spans="1:5" ht="32">
      <c r="A75" s="30"/>
      <c r="B75" s="30"/>
      <c r="C75" s="7" t="s">
        <v>32</v>
      </c>
      <c r="D75" s="8" t="s">
        <v>155</v>
      </c>
      <c r="E75" s="31"/>
    </row>
    <row r="76" spans="1:5" ht="32">
      <c r="A76" s="30"/>
      <c r="B76" s="30" t="s">
        <v>149</v>
      </c>
      <c r="C76" s="7" t="s">
        <v>17</v>
      </c>
      <c r="D76" s="8" t="s">
        <v>40</v>
      </c>
      <c r="E76" s="31" t="s">
        <v>156</v>
      </c>
    </row>
    <row r="77" spans="1:5" ht="16">
      <c r="A77" s="30"/>
      <c r="B77" s="30"/>
      <c r="C77" s="7" t="s">
        <v>20</v>
      </c>
      <c r="D77" s="8" t="s">
        <v>157</v>
      </c>
      <c r="E77" s="31"/>
    </row>
    <row r="78" spans="1:5" ht="16">
      <c r="A78" s="30"/>
      <c r="B78" s="30"/>
      <c r="C78" s="7" t="s">
        <v>23</v>
      </c>
      <c r="D78" s="8" t="s">
        <v>158</v>
      </c>
      <c r="E78" s="31"/>
    </row>
    <row r="79" spans="1:5" ht="32">
      <c r="A79" s="30"/>
      <c r="B79" s="30"/>
      <c r="C79" s="7" t="s">
        <v>26</v>
      </c>
      <c r="D79" s="8" t="s">
        <v>159</v>
      </c>
      <c r="E79" s="31"/>
    </row>
    <row r="80" spans="1:5" ht="16">
      <c r="A80" s="30"/>
      <c r="B80" s="30"/>
      <c r="C80" s="7" t="s">
        <v>29</v>
      </c>
      <c r="D80" s="8" t="s">
        <v>160</v>
      </c>
      <c r="E80" s="31"/>
    </row>
    <row r="81" spans="1:5" ht="32">
      <c r="A81" s="30"/>
      <c r="B81" s="30"/>
      <c r="C81" s="7" t="s">
        <v>32</v>
      </c>
      <c r="D81" s="8" t="s">
        <v>161</v>
      </c>
      <c r="E81" s="31"/>
    </row>
    <row r="82" spans="1:5" ht="32">
      <c r="A82" s="30"/>
      <c r="B82" s="30" t="s">
        <v>149</v>
      </c>
      <c r="C82" s="7" t="s">
        <v>17</v>
      </c>
      <c r="D82" s="8" t="s">
        <v>40</v>
      </c>
      <c r="E82" s="31" t="s">
        <v>162</v>
      </c>
    </row>
    <row r="83" spans="1:5" ht="16">
      <c r="A83" s="30"/>
      <c r="B83" s="30"/>
      <c r="C83" s="7" t="s">
        <v>20</v>
      </c>
      <c r="D83" s="8" t="s">
        <v>163</v>
      </c>
      <c r="E83" s="31"/>
    </row>
    <row r="84" spans="1:5" ht="16">
      <c r="A84" s="30"/>
      <c r="B84" s="30"/>
      <c r="C84" s="7" t="s">
        <v>23</v>
      </c>
      <c r="D84" s="8" t="s">
        <v>164</v>
      </c>
      <c r="E84" s="31"/>
    </row>
    <row r="85" spans="1:5" ht="32">
      <c r="A85" s="30"/>
      <c r="B85" s="30"/>
      <c r="C85" s="7" t="s">
        <v>26</v>
      </c>
      <c r="D85" s="8" t="s">
        <v>165</v>
      </c>
      <c r="E85" s="31"/>
    </row>
    <row r="86" spans="1:5" ht="32">
      <c r="A86" s="30"/>
      <c r="B86" s="30"/>
      <c r="C86" s="7" t="s">
        <v>29</v>
      </c>
      <c r="D86" s="8" t="s">
        <v>166</v>
      </c>
      <c r="E86" s="31"/>
    </row>
    <row r="87" spans="1:5" ht="16">
      <c r="A87" s="30"/>
      <c r="B87" s="30"/>
      <c r="C87" s="7" t="s">
        <v>32</v>
      </c>
      <c r="D87" s="8" t="s">
        <v>167</v>
      </c>
      <c r="E87" s="31"/>
    </row>
    <row r="88" spans="1:5" ht="32">
      <c r="A88" s="30" t="s">
        <v>44</v>
      </c>
      <c r="B88" s="30" t="s">
        <v>45</v>
      </c>
      <c r="C88" s="7" t="s">
        <v>17</v>
      </c>
      <c r="D88" s="8" t="s">
        <v>40</v>
      </c>
      <c r="E88" s="31" t="s">
        <v>168</v>
      </c>
    </row>
    <row r="89" spans="1:5" ht="16">
      <c r="A89" s="30"/>
      <c r="B89" s="30"/>
      <c r="C89" s="7" t="s">
        <v>20</v>
      </c>
      <c r="D89" s="8" t="s">
        <v>169</v>
      </c>
      <c r="E89" s="31"/>
    </row>
    <row r="90" spans="1:5" ht="16">
      <c r="A90" s="30"/>
      <c r="B90" s="30"/>
      <c r="C90" s="7" t="s">
        <v>23</v>
      </c>
      <c r="D90" s="8" t="s">
        <v>170</v>
      </c>
      <c r="E90" s="31"/>
    </row>
    <row r="91" spans="1:5" ht="16">
      <c r="A91" s="30"/>
      <c r="B91" s="30"/>
      <c r="C91" s="7" t="s">
        <v>26</v>
      </c>
      <c r="D91" s="8" t="s">
        <v>171</v>
      </c>
      <c r="E91" s="31"/>
    </row>
    <row r="92" spans="1:5" ht="16">
      <c r="A92" s="30"/>
      <c r="B92" s="30"/>
      <c r="C92" s="7" t="s">
        <v>29</v>
      </c>
      <c r="D92" s="8" t="s">
        <v>172</v>
      </c>
      <c r="E92" s="31"/>
    </row>
    <row r="93" spans="1:5" ht="32">
      <c r="A93" s="30"/>
      <c r="B93" s="30"/>
      <c r="C93" s="7" t="s">
        <v>32</v>
      </c>
      <c r="D93" s="8" t="s">
        <v>173</v>
      </c>
      <c r="E93" s="31"/>
    </row>
    <row r="94" spans="1:5" ht="32">
      <c r="A94" s="30"/>
      <c r="B94" s="30" t="s">
        <v>45</v>
      </c>
      <c r="C94" s="7" t="s">
        <v>17</v>
      </c>
      <c r="D94" s="8" t="s">
        <v>40</v>
      </c>
      <c r="E94" s="31" t="s">
        <v>174</v>
      </c>
    </row>
    <row r="95" spans="1:5" ht="16">
      <c r="A95" s="30"/>
      <c r="B95" s="30"/>
      <c r="C95" s="7" t="s">
        <v>20</v>
      </c>
      <c r="D95" s="8" t="s">
        <v>175</v>
      </c>
      <c r="E95" s="31"/>
    </row>
    <row r="96" spans="1:5" ht="16">
      <c r="A96" s="30"/>
      <c r="B96" s="30"/>
      <c r="C96" s="7" t="s">
        <v>23</v>
      </c>
      <c r="D96" s="8" t="s">
        <v>176</v>
      </c>
      <c r="E96" s="31"/>
    </row>
    <row r="97" spans="1:5" ht="16">
      <c r="A97" s="30"/>
      <c r="B97" s="30"/>
      <c r="C97" s="7" t="s">
        <v>26</v>
      </c>
      <c r="D97" s="8" t="s">
        <v>177</v>
      </c>
      <c r="E97" s="31"/>
    </row>
    <row r="98" spans="1:5" ht="32">
      <c r="A98" s="30"/>
      <c r="B98" s="30"/>
      <c r="C98" s="7" t="s">
        <v>29</v>
      </c>
      <c r="D98" s="8" t="s">
        <v>178</v>
      </c>
      <c r="E98" s="31"/>
    </row>
    <row r="99" spans="1:5" ht="32">
      <c r="A99" s="30"/>
      <c r="B99" s="30"/>
      <c r="C99" s="7" t="s">
        <v>32</v>
      </c>
      <c r="D99" s="8" t="s">
        <v>179</v>
      </c>
      <c r="E99" s="31"/>
    </row>
  </sheetData>
  <sheetProtection sheet="1" objects="1" scenarios="1"/>
  <mergeCells count="34">
    <mergeCell ref="E88:E93"/>
    <mergeCell ref="E94:E99"/>
    <mergeCell ref="E46:E51"/>
    <mergeCell ref="E52:E57"/>
    <mergeCell ref="E58:E63"/>
    <mergeCell ref="E64:E69"/>
    <mergeCell ref="E70:E75"/>
    <mergeCell ref="E76:E81"/>
    <mergeCell ref="E10:E15"/>
    <mergeCell ref="E16:E21"/>
    <mergeCell ref="E22:E27"/>
    <mergeCell ref="E28:E33"/>
    <mergeCell ref="E34:E39"/>
    <mergeCell ref="A10:A39"/>
    <mergeCell ref="A40:A69"/>
    <mergeCell ref="A70:A87"/>
    <mergeCell ref="A88:A99"/>
    <mergeCell ref="B88:B93"/>
    <mergeCell ref="B94:B99"/>
    <mergeCell ref="B10:B15"/>
    <mergeCell ref="B16:B21"/>
    <mergeCell ref="B22:B27"/>
    <mergeCell ref="B28:B33"/>
    <mergeCell ref="B34:B39"/>
    <mergeCell ref="B40:B45"/>
    <mergeCell ref="B46:B51"/>
    <mergeCell ref="B52:B57"/>
    <mergeCell ref="B58:B63"/>
    <mergeCell ref="B64:B69"/>
    <mergeCell ref="B70:B75"/>
    <mergeCell ref="B76:B81"/>
    <mergeCell ref="B82:B87"/>
    <mergeCell ref="E40:E45"/>
    <mergeCell ref="E82:E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4"/>
  <sheetViews>
    <sheetView workbookViewId="0">
      <selection activeCell="F31" sqref="F31"/>
    </sheetView>
  </sheetViews>
  <sheetFormatPr baseColWidth="10" defaultColWidth="8.83203125" defaultRowHeight="15"/>
  <cols>
    <col min="1" max="1" width="6.6640625" style="1" customWidth="1"/>
    <col min="2" max="2" width="57.33203125" style="1" customWidth="1"/>
    <col min="3" max="3" width="8.5" style="2" customWidth="1"/>
    <col min="4" max="5" width="15.5" style="3" bestFit="1" customWidth="1"/>
    <col min="6" max="52" width="8.83203125" style="3"/>
    <col min="53" max="16384" width="8.83203125" style="1"/>
  </cols>
  <sheetData>
    <row r="1" spans="1:52" ht="15" customHeight="1">
      <c r="A1" s="29" t="s">
        <v>46</v>
      </c>
      <c r="B1" s="29" t="s">
        <v>47</v>
      </c>
      <c r="C1" s="27" t="s">
        <v>180</v>
      </c>
      <c r="D1" s="15" t="s">
        <v>181</v>
      </c>
      <c r="E1" s="15" t="s">
        <v>182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ht="15" customHeight="1">
      <c r="A2" s="29"/>
      <c r="B2" s="29"/>
      <c r="C2" s="28"/>
      <c r="D2" s="15" t="s">
        <v>183</v>
      </c>
      <c r="E2" s="15" t="s">
        <v>184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</row>
    <row r="3" spans="1:52">
      <c r="A3" s="6" t="s">
        <v>48</v>
      </c>
      <c r="B3" s="6" t="s">
        <v>49</v>
      </c>
      <c r="C3" s="17">
        <v>0.45</v>
      </c>
      <c r="D3" s="18">
        <f>IF(COUNT(D4:D8)=0,"",SUMPRODUCT($C$4:$C$8,D4:D8)/$C$3)</f>
        <v>20</v>
      </c>
      <c r="E3" s="18">
        <f t="shared" ref="E3:AZ3" si="0">IF(COUNT(E4:E8)=0,"",SUMPRODUCT($C$4:$C$8,E4:E8)/$C$3)</f>
        <v>10</v>
      </c>
      <c r="F3" s="18" t="str">
        <f t="shared" si="0"/>
        <v/>
      </c>
      <c r="G3" s="18" t="str">
        <f t="shared" si="0"/>
        <v/>
      </c>
      <c r="H3" s="18" t="str">
        <f t="shared" si="0"/>
        <v/>
      </c>
      <c r="I3" s="18" t="str">
        <f t="shared" si="0"/>
        <v/>
      </c>
      <c r="J3" s="18" t="str">
        <f t="shared" si="0"/>
        <v/>
      </c>
      <c r="K3" s="18" t="str">
        <f t="shared" si="0"/>
        <v/>
      </c>
      <c r="L3" s="18" t="str">
        <f t="shared" si="0"/>
        <v/>
      </c>
      <c r="M3" s="18" t="str">
        <f t="shared" si="0"/>
        <v/>
      </c>
      <c r="N3" s="18" t="str">
        <f t="shared" si="0"/>
        <v/>
      </c>
      <c r="O3" s="18" t="str">
        <f t="shared" si="0"/>
        <v/>
      </c>
      <c r="P3" s="18" t="str">
        <f t="shared" si="0"/>
        <v/>
      </c>
      <c r="Q3" s="18" t="str">
        <f t="shared" si="0"/>
        <v/>
      </c>
      <c r="R3" s="18" t="str">
        <f t="shared" si="0"/>
        <v/>
      </c>
      <c r="S3" s="18" t="str">
        <f t="shared" si="0"/>
        <v/>
      </c>
      <c r="T3" s="18" t="str">
        <f t="shared" si="0"/>
        <v/>
      </c>
      <c r="U3" s="18" t="str">
        <f t="shared" si="0"/>
        <v/>
      </c>
      <c r="V3" s="18" t="str">
        <f t="shared" si="0"/>
        <v/>
      </c>
      <c r="W3" s="18" t="str">
        <f t="shared" si="0"/>
        <v/>
      </c>
      <c r="X3" s="18" t="str">
        <f t="shared" si="0"/>
        <v/>
      </c>
      <c r="Y3" s="18" t="str">
        <f t="shared" si="0"/>
        <v/>
      </c>
      <c r="Z3" s="18" t="str">
        <f t="shared" si="0"/>
        <v/>
      </c>
      <c r="AA3" s="18" t="str">
        <f t="shared" si="0"/>
        <v/>
      </c>
      <c r="AB3" s="18" t="str">
        <f t="shared" si="0"/>
        <v/>
      </c>
      <c r="AC3" s="18" t="str">
        <f t="shared" si="0"/>
        <v/>
      </c>
      <c r="AD3" s="18" t="str">
        <f t="shared" si="0"/>
        <v/>
      </c>
      <c r="AE3" s="18" t="str">
        <f t="shared" si="0"/>
        <v/>
      </c>
      <c r="AF3" s="18" t="str">
        <f t="shared" si="0"/>
        <v/>
      </c>
      <c r="AG3" s="18" t="str">
        <f t="shared" si="0"/>
        <v/>
      </c>
      <c r="AH3" s="18" t="str">
        <f t="shared" si="0"/>
        <v/>
      </c>
      <c r="AI3" s="18" t="str">
        <f t="shared" si="0"/>
        <v/>
      </c>
      <c r="AJ3" s="18" t="str">
        <f t="shared" si="0"/>
        <v/>
      </c>
      <c r="AK3" s="18" t="str">
        <f t="shared" si="0"/>
        <v/>
      </c>
      <c r="AL3" s="18" t="str">
        <f t="shared" si="0"/>
        <v/>
      </c>
      <c r="AM3" s="18" t="str">
        <f t="shared" si="0"/>
        <v/>
      </c>
      <c r="AN3" s="18" t="str">
        <f t="shared" si="0"/>
        <v/>
      </c>
      <c r="AO3" s="18" t="str">
        <f t="shared" si="0"/>
        <v/>
      </c>
      <c r="AP3" s="18" t="str">
        <f t="shared" si="0"/>
        <v/>
      </c>
      <c r="AQ3" s="18" t="str">
        <f t="shared" si="0"/>
        <v/>
      </c>
      <c r="AR3" s="18" t="str">
        <f t="shared" si="0"/>
        <v/>
      </c>
      <c r="AS3" s="18" t="str">
        <f t="shared" si="0"/>
        <v/>
      </c>
      <c r="AT3" s="18" t="str">
        <f t="shared" si="0"/>
        <v/>
      </c>
      <c r="AU3" s="18" t="str">
        <f t="shared" si="0"/>
        <v/>
      </c>
      <c r="AV3" s="18" t="str">
        <f t="shared" si="0"/>
        <v/>
      </c>
      <c r="AW3" s="18" t="str">
        <f t="shared" si="0"/>
        <v/>
      </c>
      <c r="AX3" s="18" t="str">
        <f t="shared" si="0"/>
        <v/>
      </c>
      <c r="AY3" s="18" t="str">
        <f t="shared" si="0"/>
        <v/>
      </c>
      <c r="AZ3" s="18" t="str">
        <f t="shared" si="0"/>
        <v/>
      </c>
    </row>
    <row r="4" spans="1:52">
      <c r="A4" s="16" t="s">
        <v>50</v>
      </c>
      <c r="B4" s="16" t="s">
        <v>51</v>
      </c>
      <c r="C4" s="19">
        <v>0.05</v>
      </c>
      <c r="D4" s="15">
        <v>20</v>
      </c>
      <c r="E4" s="15">
        <v>10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</row>
    <row r="5" spans="1:52">
      <c r="A5" s="16" t="s">
        <v>52</v>
      </c>
      <c r="B5" s="16" t="s">
        <v>53</v>
      </c>
      <c r="C5" s="19">
        <v>0.05</v>
      </c>
      <c r="D5" s="15">
        <v>20</v>
      </c>
      <c r="E5" s="15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>
      <c r="A6" s="16" t="s">
        <v>54</v>
      </c>
      <c r="B6" s="16" t="s">
        <v>55</v>
      </c>
      <c r="C6" s="19">
        <v>0.15</v>
      </c>
      <c r="D6" s="15">
        <v>20</v>
      </c>
      <c r="E6" s="15">
        <v>10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>
      <c r="A7" s="16" t="s">
        <v>56</v>
      </c>
      <c r="B7" s="16" t="s">
        <v>86</v>
      </c>
      <c r="C7" s="19">
        <v>0.05</v>
      </c>
      <c r="D7" s="15">
        <v>20</v>
      </c>
      <c r="E7" s="15">
        <v>10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</row>
    <row r="8" spans="1:52">
      <c r="A8" s="16" t="s">
        <v>57</v>
      </c>
      <c r="B8" s="16" t="s">
        <v>58</v>
      </c>
      <c r="C8" s="19">
        <v>0.15</v>
      </c>
      <c r="D8" s="15">
        <v>20</v>
      </c>
      <c r="E8" s="15">
        <v>10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</row>
    <row r="9" spans="1:52">
      <c r="A9" s="6" t="s">
        <v>59</v>
      </c>
      <c r="B9" s="6" t="s">
        <v>60</v>
      </c>
      <c r="C9" s="17">
        <v>0.35</v>
      </c>
      <c r="D9" s="18">
        <f>IF(COUNT(D10:D14)=0,"",SUMPRODUCT($C$10:$C$14,D10:D14)/$C$9)</f>
        <v>20.000000000000004</v>
      </c>
      <c r="E9" s="18">
        <f t="shared" ref="E9:AZ9" si="1">IF(COUNT(E10:E14)=0,"",SUMPRODUCT($C$10:$C$14,E10:E14)/$C$9)</f>
        <v>10.000000000000002</v>
      </c>
      <c r="F9" s="18" t="str">
        <f t="shared" si="1"/>
        <v/>
      </c>
      <c r="G9" s="18" t="str">
        <f t="shared" si="1"/>
        <v/>
      </c>
      <c r="H9" s="18" t="str">
        <f t="shared" si="1"/>
        <v/>
      </c>
      <c r="I9" s="18" t="str">
        <f t="shared" si="1"/>
        <v/>
      </c>
      <c r="J9" s="18" t="str">
        <f t="shared" si="1"/>
        <v/>
      </c>
      <c r="K9" s="18" t="str">
        <f t="shared" si="1"/>
        <v/>
      </c>
      <c r="L9" s="18" t="str">
        <f t="shared" si="1"/>
        <v/>
      </c>
      <c r="M9" s="18" t="str">
        <f t="shared" si="1"/>
        <v/>
      </c>
      <c r="N9" s="18" t="str">
        <f t="shared" si="1"/>
        <v/>
      </c>
      <c r="O9" s="18" t="str">
        <f t="shared" si="1"/>
        <v/>
      </c>
      <c r="P9" s="18" t="str">
        <f t="shared" si="1"/>
        <v/>
      </c>
      <c r="Q9" s="18" t="str">
        <f t="shared" si="1"/>
        <v/>
      </c>
      <c r="R9" s="18" t="str">
        <f t="shared" si="1"/>
        <v/>
      </c>
      <c r="S9" s="18" t="str">
        <f t="shared" si="1"/>
        <v/>
      </c>
      <c r="T9" s="18" t="str">
        <f t="shared" si="1"/>
        <v/>
      </c>
      <c r="U9" s="18" t="str">
        <f t="shared" si="1"/>
        <v/>
      </c>
      <c r="V9" s="18" t="str">
        <f t="shared" si="1"/>
        <v/>
      </c>
      <c r="W9" s="18" t="str">
        <f t="shared" si="1"/>
        <v/>
      </c>
      <c r="X9" s="18" t="str">
        <f t="shared" si="1"/>
        <v/>
      </c>
      <c r="Y9" s="18" t="str">
        <f t="shared" si="1"/>
        <v/>
      </c>
      <c r="Z9" s="18" t="str">
        <f t="shared" si="1"/>
        <v/>
      </c>
      <c r="AA9" s="18" t="str">
        <f t="shared" si="1"/>
        <v/>
      </c>
      <c r="AB9" s="18" t="str">
        <f t="shared" si="1"/>
        <v/>
      </c>
      <c r="AC9" s="18" t="str">
        <f t="shared" si="1"/>
        <v/>
      </c>
      <c r="AD9" s="18" t="str">
        <f t="shared" si="1"/>
        <v/>
      </c>
      <c r="AE9" s="18" t="str">
        <f t="shared" si="1"/>
        <v/>
      </c>
      <c r="AF9" s="18" t="str">
        <f t="shared" si="1"/>
        <v/>
      </c>
      <c r="AG9" s="18" t="str">
        <f t="shared" si="1"/>
        <v/>
      </c>
      <c r="AH9" s="18" t="str">
        <f t="shared" si="1"/>
        <v/>
      </c>
      <c r="AI9" s="18" t="str">
        <f t="shared" si="1"/>
        <v/>
      </c>
      <c r="AJ9" s="18" t="str">
        <f t="shared" si="1"/>
        <v/>
      </c>
      <c r="AK9" s="18" t="str">
        <f t="shared" si="1"/>
        <v/>
      </c>
      <c r="AL9" s="18" t="str">
        <f t="shared" si="1"/>
        <v/>
      </c>
      <c r="AM9" s="18" t="str">
        <f t="shared" si="1"/>
        <v/>
      </c>
      <c r="AN9" s="18" t="str">
        <f t="shared" si="1"/>
        <v/>
      </c>
      <c r="AO9" s="18" t="str">
        <f t="shared" si="1"/>
        <v/>
      </c>
      <c r="AP9" s="18" t="str">
        <f t="shared" si="1"/>
        <v/>
      </c>
      <c r="AQ9" s="18" t="str">
        <f t="shared" si="1"/>
        <v/>
      </c>
      <c r="AR9" s="18" t="str">
        <f t="shared" si="1"/>
        <v/>
      </c>
      <c r="AS9" s="18" t="str">
        <f t="shared" si="1"/>
        <v/>
      </c>
      <c r="AT9" s="18" t="str">
        <f t="shared" si="1"/>
        <v/>
      </c>
      <c r="AU9" s="18" t="str">
        <f t="shared" si="1"/>
        <v/>
      </c>
      <c r="AV9" s="18" t="str">
        <f t="shared" si="1"/>
        <v/>
      </c>
      <c r="AW9" s="18" t="str">
        <f t="shared" si="1"/>
        <v/>
      </c>
      <c r="AX9" s="18" t="str">
        <f t="shared" si="1"/>
        <v/>
      </c>
      <c r="AY9" s="18" t="str">
        <f t="shared" si="1"/>
        <v/>
      </c>
      <c r="AZ9" s="18" t="str">
        <f t="shared" si="1"/>
        <v/>
      </c>
    </row>
    <row r="10" spans="1:52">
      <c r="A10" s="16" t="s">
        <v>61</v>
      </c>
      <c r="B10" s="16" t="s">
        <v>62</v>
      </c>
      <c r="C10" s="19">
        <v>7.0000000000000007E-2</v>
      </c>
      <c r="D10" s="15">
        <v>20</v>
      </c>
      <c r="E10" s="15">
        <v>10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</row>
    <row r="11" spans="1:52">
      <c r="A11" s="16" t="s">
        <v>63</v>
      </c>
      <c r="B11" s="16" t="s">
        <v>64</v>
      </c>
      <c r="C11" s="19">
        <v>7.0000000000000007E-2</v>
      </c>
      <c r="D11" s="15">
        <v>20</v>
      </c>
      <c r="E11" s="15">
        <v>10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</row>
    <row r="12" spans="1:52">
      <c r="A12" s="16" t="s">
        <v>65</v>
      </c>
      <c r="B12" s="16" t="s">
        <v>66</v>
      </c>
      <c r="C12" s="19">
        <v>7.0000000000000007E-2</v>
      </c>
      <c r="D12" s="15">
        <v>20</v>
      </c>
      <c r="E12" s="15">
        <v>10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</row>
    <row r="13" spans="1:52">
      <c r="A13" s="16" t="s">
        <v>67</v>
      </c>
      <c r="B13" s="16" t="s">
        <v>68</v>
      </c>
      <c r="C13" s="19">
        <v>7.0000000000000007E-2</v>
      </c>
      <c r="D13" s="15">
        <v>20</v>
      </c>
      <c r="E13" s="15">
        <v>10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</row>
    <row r="14" spans="1:52">
      <c r="A14" s="16" t="s">
        <v>69</v>
      </c>
      <c r="B14" s="16" t="s">
        <v>70</v>
      </c>
      <c r="C14" s="19">
        <v>7.0000000000000007E-2</v>
      </c>
      <c r="D14" s="15">
        <v>20</v>
      </c>
      <c r="E14" s="15">
        <v>10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</row>
    <row r="15" spans="1:52">
      <c r="A15" s="6" t="s">
        <v>71</v>
      </c>
      <c r="B15" s="6" t="s">
        <v>72</v>
      </c>
      <c r="C15" s="17">
        <v>0.25</v>
      </c>
      <c r="D15" s="18">
        <f>IF(COUNT(D16:D18)=0,"",SUMPRODUCT($C$16:$C$18,D16:D18)/$C$15)</f>
        <v>20</v>
      </c>
      <c r="E15" s="18">
        <f t="shared" ref="E15:AZ15" si="2">IF(COUNT(E16:E18)=0,"",SUMPRODUCT($C$16:$C$18,E16:E18)/$C$15)</f>
        <v>10</v>
      </c>
      <c r="F15" s="18" t="str">
        <f t="shared" si="2"/>
        <v/>
      </c>
      <c r="G15" s="18" t="str">
        <f t="shared" si="2"/>
        <v/>
      </c>
      <c r="H15" s="18" t="str">
        <f t="shared" si="2"/>
        <v/>
      </c>
      <c r="I15" s="18" t="str">
        <f t="shared" si="2"/>
        <v/>
      </c>
      <c r="J15" s="18" t="str">
        <f t="shared" si="2"/>
        <v/>
      </c>
      <c r="K15" s="18" t="str">
        <f t="shared" si="2"/>
        <v/>
      </c>
      <c r="L15" s="18" t="str">
        <f t="shared" si="2"/>
        <v/>
      </c>
      <c r="M15" s="18" t="str">
        <f t="shared" si="2"/>
        <v/>
      </c>
      <c r="N15" s="18" t="str">
        <f t="shared" si="2"/>
        <v/>
      </c>
      <c r="O15" s="18" t="str">
        <f t="shared" si="2"/>
        <v/>
      </c>
      <c r="P15" s="18" t="str">
        <f t="shared" si="2"/>
        <v/>
      </c>
      <c r="Q15" s="18" t="str">
        <f t="shared" si="2"/>
        <v/>
      </c>
      <c r="R15" s="18" t="str">
        <f t="shared" si="2"/>
        <v/>
      </c>
      <c r="S15" s="18" t="str">
        <f t="shared" si="2"/>
        <v/>
      </c>
      <c r="T15" s="18" t="str">
        <f t="shared" si="2"/>
        <v/>
      </c>
      <c r="U15" s="18" t="str">
        <f t="shared" si="2"/>
        <v/>
      </c>
      <c r="V15" s="18" t="str">
        <f t="shared" si="2"/>
        <v/>
      </c>
      <c r="W15" s="18" t="str">
        <f t="shared" si="2"/>
        <v/>
      </c>
      <c r="X15" s="18" t="str">
        <f t="shared" si="2"/>
        <v/>
      </c>
      <c r="Y15" s="18" t="str">
        <f t="shared" si="2"/>
        <v/>
      </c>
      <c r="Z15" s="18" t="str">
        <f t="shared" si="2"/>
        <v/>
      </c>
      <c r="AA15" s="18" t="str">
        <f t="shared" si="2"/>
        <v/>
      </c>
      <c r="AB15" s="18" t="str">
        <f t="shared" si="2"/>
        <v/>
      </c>
      <c r="AC15" s="18" t="str">
        <f t="shared" si="2"/>
        <v/>
      </c>
      <c r="AD15" s="18" t="str">
        <f t="shared" si="2"/>
        <v/>
      </c>
      <c r="AE15" s="18" t="str">
        <f t="shared" si="2"/>
        <v/>
      </c>
      <c r="AF15" s="18" t="str">
        <f t="shared" si="2"/>
        <v/>
      </c>
      <c r="AG15" s="18" t="str">
        <f t="shared" si="2"/>
        <v/>
      </c>
      <c r="AH15" s="18" t="str">
        <f t="shared" si="2"/>
        <v/>
      </c>
      <c r="AI15" s="18" t="str">
        <f t="shared" si="2"/>
        <v/>
      </c>
      <c r="AJ15" s="18" t="str">
        <f t="shared" si="2"/>
        <v/>
      </c>
      <c r="AK15" s="18" t="str">
        <f t="shared" si="2"/>
        <v/>
      </c>
      <c r="AL15" s="18" t="str">
        <f t="shared" si="2"/>
        <v/>
      </c>
      <c r="AM15" s="18" t="str">
        <f t="shared" si="2"/>
        <v/>
      </c>
      <c r="AN15" s="18" t="str">
        <f t="shared" si="2"/>
        <v/>
      </c>
      <c r="AO15" s="18" t="str">
        <f t="shared" si="2"/>
        <v/>
      </c>
      <c r="AP15" s="18" t="str">
        <f t="shared" si="2"/>
        <v/>
      </c>
      <c r="AQ15" s="18" t="str">
        <f t="shared" si="2"/>
        <v/>
      </c>
      <c r="AR15" s="18" t="str">
        <f t="shared" si="2"/>
        <v/>
      </c>
      <c r="AS15" s="18" t="str">
        <f t="shared" si="2"/>
        <v/>
      </c>
      <c r="AT15" s="18" t="str">
        <f t="shared" si="2"/>
        <v/>
      </c>
      <c r="AU15" s="18" t="str">
        <f t="shared" si="2"/>
        <v/>
      </c>
      <c r="AV15" s="18" t="str">
        <f t="shared" si="2"/>
        <v/>
      </c>
      <c r="AW15" s="18" t="str">
        <f t="shared" si="2"/>
        <v/>
      </c>
      <c r="AX15" s="18" t="str">
        <f t="shared" si="2"/>
        <v/>
      </c>
      <c r="AY15" s="18" t="str">
        <f t="shared" si="2"/>
        <v/>
      </c>
      <c r="AZ15" s="18" t="str">
        <f t="shared" si="2"/>
        <v/>
      </c>
    </row>
    <row r="16" spans="1:52">
      <c r="A16" s="16" t="s">
        <v>73</v>
      </c>
      <c r="B16" s="16" t="s">
        <v>87</v>
      </c>
      <c r="C16" s="19">
        <v>0.06</v>
      </c>
      <c r="D16" s="15">
        <v>20</v>
      </c>
      <c r="E16" s="15">
        <v>10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</row>
    <row r="17" spans="1:52">
      <c r="A17" s="16" t="s">
        <v>74</v>
      </c>
      <c r="B17" s="16" t="s">
        <v>88</v>
      </c>
      <c r="C17" s="19">
        <v>0.06</v>
      </c>
      <c r="D17" s="15">
        <v>20</v>
      </c>
      <c r="E17" s="15">
        <v>10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</row>
    <row r="18" spans="1:52">
      <c r="A18" s="16" t="s">
        <v>75</v>
      </c>
      <c r="B18" s="16" t="s">
        <v>76</v>
      </c>
      <c r="C18" s="19">
        <v>0.13</v>
      </c>
      <c r="D18" s="15">
        <v>20</v>
      </c>
      <c r="E18" s="15">
        <v>10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</row>
    <row r="19" spans="1:52">
      <c r="A19" s="6" t="s">
        <v>77</v>
      </c>
      <c r="B19" s="6" t="s">
        <v>78</v>
      </c>
      <c r="C19" s="17">
        <v>0.15</v>
      </c>
      <c r="D19" s="18">
        <f>IF(COUNT(D20:D21)=0,"",SUMPRODUCT($C$20:$C$21,D20:D21)/$C$19)</f>
        <v>20</v>
      </c>
      <c r="E19" s="18">
        <f t="shared" ref="E19:AZ19" si="3">IF(COUNT(E20:E21)=0,"",SUMPRODUCT($C$20:$C$21,E20:E21)/$C$19)</f>
        <v>10</v>
      </c>
      <c r="F19" s="18" t="str">
        <f t="shared" si="3"/>
        <v/>
      </c>
      <c r="G19" s="18" t="str">
        <f t="shared" si="3"/>
        <v/>
      </c>
      <c r="H19" s="18" t="str">
        <f t="shared" si="3"/>
        <v/>
      </c>
      <c r="I19" s="18" t="str">
        <f t="shared" si="3"/>
        <v/>
      </c>
      <c r="J19" s="18" t="str">
        <f t="shared" si="3"/>
        <v/>
      </c>
      <c r="K19" s="18" t="str">
        <f t="shared" si="3"/>
        <v/>
      </c>
      <c r="L19" s="18" t="str">
        <f t="shared" si="3"/>
        <v/>
      </c>
      <c r="M19" s="18" t="str">
        <f t="shared" si="3"/>
        <v/>
      </c>
      <c r="N19" s="18" t="str">
        <f t="shared" si="3"/>
        <v/>
      </c>
      <c r="O19" s="18" t="str">
        <f t="shared" si="3"/>
        <v/>
      </c>
      <c r="P19" s="18" t="str">
        <f t="shared" si="3"/>
        <v/>
      </c>
      <c r="Q19" s="18" t="str">
        <f t="shared" si="3"/>
        <v/>
      </c>
      <c r="R19" s="18" t="str">
        <f t="shared" si="3"/>
        <v/>
      </c>
      <c r="S19" s="18" t="str">
        <f t="shared" si="3"/>
        <v/>
      </c>
      <c r="T19" s="18" t="str">
        <f t="shared" si="3"/>
        <v/>
      </c>
      <c r="U19" s="18" t="str">
        <f t="shared" si="3"/>
        <v/>
      </c>
      <c r="V19" s="18" t="str">
        <f t="shared" si="3"/>
        <v/>
      </c>
      <c r="W19" s="18" t="str">
        <f t="shared" si="3"/>
        <v/>
      </c>
      <c r="X19" s="18" t="str">
        <f t="shared" si="3"/>
        <v/>
      </c>
      <c r="Y19" s="18" t="str">
        <f t="shared" si="3"/>
        <v/>
      </c>
      <c r="Z19" s="18" t="str">
        <f t="shared" si="3"/>
        <v/>
      </c>
      <c r="AA19" s="18" t="str">
        <f t="shared" si="3"/>
        <v/>
      </c>
      <c r="AB19" s="18" t="str">
        <f t="shared" si="3"/>
        <v/>
      </c>
      <c r="AC19" s="18" t="str">
        <f t="shared" si="3"/>
        <v/>
      </c>
      <c r="AD19" s="18" t="str">
        <f t="shared" si="3"/>
        <v/>
      </c>
      <c r="AE19" s="18" t="str">
        <f t="shared" si="3"/>
        <v/>
      </c>
      <c r="AF19" s="18" t="str">
        <f t="shared" si="3"/>
        <v/>
      </c>
      <c r="AG19" s="18" t="str">
        <f t="shared" si="3"/>
        <v/>
      </c>
      <c r="AH19" s="18" t="str">
        <f t="shared" si="3"/>
        <v/>
      </c>
      <c r="AI19" s="18" t="str">
        <f t="shared" si="3"/>
        <v/>
      </c>
      <c r="AJ19" s="18" t="str">
        <f t="shared" si="3"/>
        <v/>
      </c>
      <c r="AK19" s="18" t="str">
        <f t="shared" si="3"/>
        <v/>
      </c>
      <c r="AL19" s="18" t="str">
        <f t="shared" si="3"/>
        <v/>
      </c>
      <c r="AM19" s="18" t="str">
        <f t="shared" si="3"/>
        <v/>
      </c>
      <c r="AN19" s="18" t="str">
        <f t="shared" si="3"/>
        <v/>
      </c>
      <c r="AO19" s="18" t="str">
        <f t="shared" si="3"/>
        <v/>
      </c>
      <c r="AP19" s="18" t="str">
        <f t="shared" si="3"/>
        <v/>
      </c>
      <c r="AQ19" s="18" t="str">
        <f t="shared" si="3"/>
        <v/>
      </c>
      <c r="AR19" s="18" t="str">
        <f t="shared" si="3"/>
        <v/>
      </c>
      <c r="AS19" s="18" t="str">
        <f t="shared" si="3"/>
        <v/>
      </c>
      <c r="AT19" s="18" t="str">
        <f t="shared" si="3"/>
        <v/>
      </c>
      <c r="AU19" s="18" t="str">
        <f t="shared" si="3"/>
        <v/>
      </c>
      <c r="AV19" s="18" t="str">
        <f t="shared" si="3"/>
        <v/>
      </c>
      <c r="AW19" s="18" t="str">
        <f t="shared" si="3"/>
        <v/>
      </c>
      <c r="AX19" s="18" t="str">
        <f t="shared" si="3"/>
        <v/>
      </c>
      <c r="AY19" s="18" t="str">
        <f t="shared" si="3"/>
        <v/>
      </c>
      <c r="AZ19" s="18" t="str">
        <f t="shared" si="3"/>
        <v/>
      </c>
    </row>
    <row r="20" spans="1:52">
      <c r="A20" s="16" t="s">
        <v>79</v>
      </c>
      <c r="B20" s="16" t="s">
        <v>80</v>
      </c>
      <c r="C20" s="20">
        <v>7.4999999999999997E-2</v>
      </c>
      <c r="D20" s="15">
        <v>20</v>
      </c>
      <c r="E20" s="15">
        <v>10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</row>
    <row r="21" spans="1:52">
      <c r="A21" s="16" t="s">
        <v>81</v>
      </c>
      <c r="B21" s="16" t="s">
        <v>82</v>
      </c>
      <c r="C21" s="20">
        <v>7.4999999999999997E-2</v>
      </c>
      <c r="D21" s="15">
        <v>20</v>
      </c>
      <c r="E21" s="15">
        <v>10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</row>
    <row r="22" spans="1:52">
      <c r="A22" s="25" t="s">
        <v>84</v>
      </c>
      <c r="B22" s="26"/>
      <c r="C22" s="24">
        <f>SUM(C3,C9,C15,C19)</f>
        <v>1.2</v>
      </c>
      <c r="D22" s="21">
        <f>IF(COUNT(D4:D8,D10:D14,D16:D18,D20:D21)=0,"",D23/20)</f>
        <v>1</v>
      </c>
      <c r="E22" s="21">
        <f t="shared" ref="E22:AZ22" si="4">IF(COUNT(E4:E8,E10:E14,E16:E18,E20:E21)=0,"",E23/20)</f>
        <v>0.6</v>
      </c>
      <c r="F22" s="21" t="str">
        <f t="shared" si="4"/>
        <v/>
      </c>
      <c r="G22" s="21" t="str">
        <f t="shared" si="4"/>
        <v/>
      </c>
      <c r="H22" s="21" t="str">
        <f t="shared" si="4"/>
        <v/>
      </c>
      <c r="I22" s="21" t="str">
        <f t="shared" si="4"/>
        <v/>
      </c>
      <c r="J22" s="21" t="str">
        <f t="shared" si="4"/>
        <v/>
      </c>
      <c r="K22" s="21" t="str">
        <f t="shared" si="4"/>
        <v/>
      </c>
      <c r="L22" s="21" t="str">
        <f t="shared" si="4"/>
        <v/>
      </c>
      <c r="M22" s="21" t="str">
        <f t="shared" si="4"/>
        <v/>
      </c>
      <c r="N22" s="21" t="str">
        <f t="shared" si="4"/>
        <v/>
      </c>
      <c r="O22" s="21" t="str">
        <f t="shared" si="4"/>
        <v/>
      </c>
      <c r="P22" s="21" t="str">
        <f t="shared" si="4"/>
        <v/>
      </c>
      <c r="Q22" s="21" t="str">
        <f t="shared" si="4"/>
        <v/>
      </c>
      <c r="R22" s="21" t="str">
        <f t="shared" si="4"/>
        <v/>
      </c>
      <c r="S22" s="21" t="str">
        <f t="shared" si="4"/>
        <v/>
      </c>
      <c r="T22" s="21" t="str">
        <f t="shared" si="4"/>
        <v/>
      </c>
      <c r="U22" s="21" t="str">
        <f t="shared" si="4"/>
        <v/>
      </c>
      <c r="V22" s="21" t="str">
        <f t="shared" si="4"/>
        <v/>
      </c>
      <c r="W22" s="21" t="str">
        <f t="shared" si="4"/>
        <v/>
      </c>
      <c r="X22" s="21" t="str">
        <f t="shared" si="4"/>
        <v/>
      </c>
      <c r="Y22" s="21" t="str">
        <f t="shared" si="4"/>
        <v/>
      </c>
      <c r="Z22" s="21" t="str">
        <f t="shared" si="4"/>
        <v/>
      </c>
      <c r="AA22" s="21" t="str">
        <f t="shared" si="4"/>
        <v/>
      </c>
      <c r="AB22" s="21" t="str">
        <f t="shared" si="4"/>
        <v/>
      </c>
      <c r="AC22" s="21" t="str">
        <f t="shared" si="4"/>
        <v/>
      </c>
      <c r="AD22" s="21" t="str">
        <f t="shared" si="4"/>
        <v/>
      </c>
      <c r="AE22" s="21" t="str">
        <f t="shared" si="4"/>
        <v/>
      </c>
      <c r="AF22" s="21" t="str">
        <f t="shared" si="4"/>
        <v/>
      </c>
      <c r="AG22" s="21" t="str">
        <f t="shared" si="4"/>
        <v/>
      </c>
      <c r="AH22" s="21" t="str">
        <f t="shared" si="4"/>
        <v/>
      </c>
      <c r="AI22" s="21" t="str">
        <f t="shared" si="4"/>
        <v/>
      </c>
      <c r="AJ22" s="21" t="str">
        <f t="shared" si="4"/>
        <v/>
      </c>
      <c r="AK22" s="21" t="str">
        <f t="shared" si="4"/>
        <v/>
      </c>
      <c r="AL22" s="21" t="str">
        <f t="shared" si="4"/>
        <v/>
      </c>
      <c r="AM22" s="21" t="str">
        <f t="shared" si="4"/>
        <v/>
      </c>
      <c r="AN22" s="21" t="str">
        <f t="shared" si="4"/>
        <v/>
      </c>
      <c r="AO22" s="21" t="str">
        <f t="shared" si="4"/>
        <v/>
      </c>
      <c r="AP22" s="21" t="str">
        <f t="shared" si="4"/>
        <v/>
      </c>
      <c r="AQ22" s="21" t="str">
        <f t="shared" si="4"/>
        <v/>
      </c>
      <c r="AR22" s="21" t="str">
        <f t="shared" si="4"/>
        <v/>
      </c>
      <c r="AS22" s="21" t="str">
        <f t="shared" si="4"/>
        <v/>
      </c>
      <c r="AT22" s="21" t="str">
        <f t="shared" si="4"/>
        <v/>
      </c>
      <c r="AU22" s="21" t="str">
        <f t="shared" si="4"/>
        <v/>
      </c>
      <c r="AV22" s="21" t="str">
        <f t="shared" si="4"/>
        <v/>
      </c>
      <c r="AW22" s="21" t="str">
        <f t="shared" si="4"/>
        <v/>
      </c>
      <c r="AX22" s="21" t="str">
        <f t="shared" si="4"/>
        <v/>
      </c>
      <c r="AY22" s="21" t="str">
        <f t="shared" si="4"/>
        <v/>
      </c>
      <c r="AZ22" s="21" t="str">
        <f t="shared" si="4"/>
        <v/>
      </c>
    </row>
    <row r="23" spans="1:52" ht="17" customHeight="1">
      <c r="A23" s="25" t="s">
        <v>83</v>
      </c>
      <c r="B23" s="26"/>
      <c r="C23" s="11" t="s">
        <v>185</v>
      </c>
      <c r="D23" s="18">
        <f>IF(COUNT(D4:D8,D10:D14,D16:D18,D20:D21)=0,"",ROUND(MIN(20,SUMPRODUCT($C$4:$C$8,D4:D8)+SUMPRODUCT($C$10:$C$14,D10:D14)+SUMPRODUCT($C$16:$C$18,D16:D18)+SUMPRODUCT($C$20:$C$21,D20:D21)),2))</f>
        <v>20</v>
      </c>
      <c r="E23" s="18">
        <f t="shared" ref="E23:AZ23" si="5">IF(COUNT(E4:E8,E10:E14,E16:E18,E20:E21)=0,"",ROUND(MIN(20,SUMPRODUCT($C$4:$C$8,E4:E8)+SUMPRODUCT($C$10:$C$14,E10:E14)+SUMPRODUCT($C$16:$C$18,E16:E18)+SUMPRODUCT($C$20:$C$21,E20:E21)),2))</f>
        <v>12</v>
      </c>
      <c r="F23" s="18" t="str">
        <f t="shared" si="5"/>
        <v/>
      </c>
      <c r="G23" s="18" t="str">
        <f t="shared" si="5"/>
        <v/>
      </c>
      <c r="H23" s="18" t="str">
        <f t="shared" si="5"/>
        <v/>
      </c>
      <c r="I23" s="18" t="str">
        <f t="shared" si="5"/>
        <v/>
      </c>
      <c r="J23" s="18" t="str">
        <f t="shared" si="5"/>
        <v/>
      </c>
      <c r="K23" s="18" t="str">
        <f t="shared" si="5"/>
        <v/>
      </c>
      <c r="L23" s="18" t="str">
        <f t="shared" si="5"/>
        <v/>
      </c>
      <c r="M23" s="18" t="str">
        <f t="shared" si="5"/>
        <v/>
      </c>
      <c r="N23" s="18" t="str">
        <f t="shared" si="5"/>
        <v/>
      </c>
      <c r="O23" s="18" t="str">
        <f t="shared" si="5"/>
        <v/>
      </c>
      <c r="P23" s="18" t="str">
        <f t="shared" si="5"/>
        <v/>
      </c>
      <c r="Q23" s="18" t="str">
        <f t="shared" si="5"/>
        <v/>
      </c>
      <c r="R23" s="18" t="str">
        <f t="shared" si="5"/>
        <v/>
      </c>
      <c r="S23" s="18" t="str">
        <f t="shared" si="5"/>
        <v/>
      </c>
      <c r="T23" s="18" t="str">
        <f t="shared" si="5"/>
        <v/>
      </c>
      <c r="U23" s="18" t="str">
        <f t="shared" si="5"/>
        <v/>
      </c>
      <c r="V23" s="18" t="str">
        <f t="shared" si="5"/>
        <v/>
      </c>
      <c r="W23" s="18" t="str">
        <f t="shared" si="5"/>
        <v/>
      </c>
      <c r="X23" s="18" t="str">
        <f t="shared" si="5"/>
        <v/>
      </c>
      <c r="Y23" s="18" t="str">
        <f t="shared" si="5"/>
        <v/>
      </c>
      <c r="Z23" s="18" t="str">
        <f t="shared" si="5"/>
        <v/>
      </c>
      <c r="AA23" s="18" t="str">
        <f t="shared" si="5"/>
        <v/>
      </c>
      <c r="AB23" s="18" t="str">
        <f t="shared" si="5"/>
        <v/>
      </c>
      <c r="AC23" s="18" t="str">
        <f t="shared" si="5"/>
        <v/>
      </c>
      <c r="AD23" s="18" t="str">
        <f t="shared" si="5"/>
        <v/>
      </c>
      <c r="AE23" s="18" t="str">
        <f t="shared" si="5"/>
        <v/>
      </c>
      <c r="AF23" s="18" t="str">
        <f t="shared" si="5"/>
        <v/>
      </c>
      <c r="AG23" s="18" t="str">
        <f t="shared" si="5"/>
        <v/>
      </c>
      <c r="AH23" s="18" t="str">
        <f t="shared" si="5"/>
        <v/>
      </c>
      <c r="AI23" s="18" t="str">
        <f t="shared" si="5"/>
        <v/>
      </c>
      <c r="AJ23" s="18" t="str">
        <f t="shared" si="5"/>
        <v/>
      </c>
      <c r="AK23" s="18" t="str">
        <f t="shared" si="5"/>
        <v/>
      </c>
      <c r="AL23" s="18" t="str">
        <f t="shared" si="5"/>
        <v/>
      </c>
      <c r="AM23" s="18" t="str">
        <f t="shared" si="5"/>
        <v/>
      </c>
      <c r="AN23" s="18" t="str">
        <f t="shared" si="5"/>
        <v/>
      </c>
      <c r="AO23" s="18" t="str">
        <f t="shared" si="5"/>
        <v/>
      </c>
      <c r="AP23" s="18" t="str">
        <f t="shared" si="5"/>
        <v/>
      </c>
      <c r="AQ23" s="18" t="str">
        <f t="shared" si="5"/>
        <v/>
      </c>
      <c r="AR23" s="18" t="str">
        <f t="shared" si="5"/>
        <v/>
      </c>
      <c r="AS23" s="18" t="str">
        <f t="shared" si="5"/>
        <v/>
      </c>
      <c r="AT23" s="18" t="str">
        <f t="shared" si="5"/>
        <v/>
      </c>
      <c r="AU23" s="18" t="str">
        <f t="shared" si="5"/>
        <v/>
      </c>
      <c r="AV23" s="18" t="str">
        <f t="shared" si="5"/>
        <v/>
      </c>
      <c r="AW23" s="18" t="str">
        <f t="shared" si="5"/>
        <v/>
      </c>
      <c r="AX23" s="18" t="str">
        <f t="shared" si="5"/>
        <v/>
      </c>
      <c r="AY23" s="18" t="str">
        <f t="shared" si="5"/>
        <v/>
      </c>
      <c r="AZ23" s="18" t="str">
        <f t="shared" si="5"/>
        <v/>
      </c>
    </row>
    <row r="24" spans="1:52" ht="16" customHeight="1">
      <c r="A24" s="25" t="s">
        <v>85</v>
      </c>
      <c r="B24" s="26"/>
      <c r="C24" s="11" t="s">
        <v>185</v>
      </c>
      <c r="D24" s="7" t="str">
        <f>IF(COUNTA(D1:D2,D4:D8,D10:D14,D16:D18,D20:D21)=0,"",IF(COUNTA(D1:D2,D4:D8,D10:D14,D16:D18,D20:D21)=17,"Concluído","Por concluir"))</f>
        <v>Concluído</v>
      </c>
      <c r="E24" s="7" t="str">
        <f>IF(COUNTA(E1:E2,E4:E8,E10:E14,E16:E18,E20:E21)=0,"",IF(COUNTA(E1:E2,E4:E8,E10:E14,E16:E18,E20:E21)=17,"Concluído","Por concluir"))</f>
        <v>Concluído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</row>
  </sheetData>
  <sheetProtection sheet="1" objects="1" scenarios="1"/>
  <mergeCells count="6">
    <mergeCell ref="A24:B24"/>
    <mergeCell ref="C1:C2"/>
    <mergeCell ref="B1:B2"/>
    <mergeCell ref="A1:A2"/>
    <mergeCell ref="A22:B22"/>
    <mergeCell ref="A23:B23"/>
  </mergeCells>
  <conditionalFormatting sqref="D24:AZ24">
    <cfRule type="cellIs" dxfId="1" priority="1" operator="equal">
      <formula>"Por concluir"</formula>
    </cfRule>
    <cfRule type="cellIs" dxfId="0" priority="2" operator="equal">
      <formula>"Concluído"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Princípios</vt:lpstr>
      <vt:lpstr>Rubrica P1</vt:lpstr>
      <vt:lpstr>Grelha 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Nuno Silva</cp:lastModifiedBy>
  <dcterms:created xsi:type="dcterms:W3CDTF">2026-10-25T21:14:41Z</dcterms:created>
  <dcterms:modified xsi:type="dcterms:W3CDTF">2026-10-27T17:05:58Z</dcterms:modified>
</cp:coreProperties>
</file>