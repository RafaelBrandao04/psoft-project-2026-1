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nps_isep_ipp_pt/Documents/Ensino/ARQSOFT+ODSOFT/ARQSOFT+ODSOFT 2026-2027/project/ARQSOFT/"/>
    </mc:Choice>
  </mc:AlternateContent>
  <xr:revisionPtr revIDLastSave="25" documentId="8_{024DC9E3-6747-D344-9775-A9988A36C838}" xr6:coauthVersionLast="47" xr6:coauthVersionMax="47" xr10:uidLastSave="{3D03C831-888E-134F-96ED-137ED9FC8F7C}"/>
  <workbookProtection workbookAlgorithmName="SHA-512" workbookHashValue="fGPq6/nkSSFIx0MkTj+g8N9HfRGIDMlxhC7uNI+Hn79t963A6gUfaEpTxa6fimr2YFpzDnkiHkXk6SPTCMqN/g==" workbookSaltValue="RnRXYobPK55lja04tjQOIA==" workbookSpinCount="100000" lockStructure="1"/>
  <bookViews>
    <workbookView xWindow="17120" yWindow="-21000" windowWidth="19200" windowHeight="21000" xr2:uid="{00000000-000D-0000-FFFF-FFFF00000000}"/>
  </bookViews>
  <sheets>
    <sheet name="Princípios" sheetId="4" r:id="rId1"/>
    <sheet name="Rubrica P1" sheetId="2" r:id="rId2"/>
    <sheet name="Grelha P1" sheetId="1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F8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E21" i="1"/>
  <c r="E20" i="1" s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E11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E8" i="1"/>
  <c r="AN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D21" i="1"/>
  <c r="D20" i="1" s="1"/>
  <c r="D3" i="1"/>
  <c r="D8" i="1"/>
  <c r="D11" i="1"/>
  <c r="D17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D22" i="1"/>
  <c r="C20" i="1" l="1"/>
</calcChain>
</file>

<file path=xl/sharedStrings.xml><?xml version="1.0" encoding="utf-8"?>
<sst xmlns="http://schemas.openxmlformats.org/spreadsheetml/2006/main" count="265" uniqueCount="174">
  <si>
    <t>#</t>
  </si>
  <si>
    <t>C1</t>
  </si>
  <si>
    <t>A aplicação está arquiteturalmente bem concebida</t>
  </si>
  <si>
    <t>C1.1</t>
  </si>
  <si>
    <t>Requisitos e drivers arquiteturais</t>
  </si>
  <si>
    <t>C1.2</t>
  </si>
  <si>
    <t>Processo ADD</t>
  </si>
  <si>
    <t>C1.3</t>
  </si>
  <si>
    <t>Decisões, alternativas e justificação</t>
  </si>
  <si>
    <t>C1.4</t>
  </si>
  <si>
    <t>Vistas e modelos arquiteturais</t>
  </si>
  <si>
    <t>C2</t>
  </si>
  <si>
    <t>A aplicação está funcional e arquiteturalmente bem implementada</t>
  </si>
  <si>
    <t>C2.1</t>
  </si>
  <si>
    <t>Implementação funcional</t>
  </si>
  <si>
    <t>C2.2</t>
  </si>
  <si>
    <t>Padrões, princípios e táticas arquiteturais</t>
  </si>
  <si>
    <t>C3</t>
  </si>
  <si>
    <t>Os testes automáticos são adequados e fundamentados</t>
  </si>
  <si>
    <t>C3.1</t>
  </si>
  <si>
    <t>Testes funcionais de caixa opaca — classes</t>
  </si>
  <si>
    <t>C3.2</t>
  </si>
  <si>
    <t>Testes funcionais de caixa transparente — classes de domínio</t>
  </si>
  <si>
    <t>C3.3</t>
  </si>
  <si>
    <t>Testes de mutação — classes</t>
  </si>
  <si>
    <t>C3.4</t>
  </si>
  <si>
    <t>Testes de caixa opaca — conjunto de componentes</t>
  </si>
  <si>
    <t>C3.5</t>
  </si>
  <si>
    <t>Testes funcionais de caixa opaca — sistema</t>
  </si>
  <si>
    <t>C4</t>
  </si>
  <si>
    <t>Os artefactos são rastreáveis e consistentes</t>
  </si>
  <si>
    <t>C4.1</t>
  </si>
  <si>
    <t>Rastreabilidade</t>
  </si>
  <si>
    <t>C4.2</t>
  </si>
  <si>
    <t>Consistência entre SAD, modelos, implementação e testes</t>
  </si>
  <si>
    <t>Total [0–100%]</t>
  </si>
  <si>
    <t>Classificação [0–20]</t>
  </si>
  <si>
    <t>Estado</t>
  </si>
  <si>
    <t>Nível</t>
  </si>
  <si>
    <t>Classificação</t>
  </si>
  <si>
    <t>Descritor comum</t>
  </si>
  <si>
    <t>0</t>
  </si>
  <si>
    <t>2–5</t>
  </si>
  <si>
    <t>6–9</t>
  </si>
  <si>
    <t>10–13</t>
  </si>
  <si>
    <t>14–17</t>
  </si>
  <si>
    <t>18–20</t>
  </si>
  <si>
    <t>Subcritério</t>
  </si>
  <si>
    <t>Descritor específico</t>
  </si>
  <si>
    <t>Critérios de avaliação</t>
  </si>
  <si>
    <t>Peso com extras</t>
  </si>
  <si>
    <t>Nome Exemplo 2</t>
  </si>
  <si>
    <t>Número Exemplo 2</t>
  </si>
  <si>
    <t>Número Exemplo 1</t>
  </si>
  <si>
    <t>Nome Exemplo 1</t>
  </si>
  <si>
    <t>Avaliação baseada em evidências</t>
  </si>
  <si>
    <t>Avaliação não compensatória</t>
  </si>
  <si>
    <t>Responsabilidade individual</t>
  </si>
  <si>
    <t>-</t>
  </si>
  <si>
    <t>C1.1 Requisitos e drivers arquiteturais</t>
  </si>
  <si>
    <t>C1.2 Processo ADD</t>
  </si>
  <si>
    <t>C1.3 Decisões, alternativas e justificação</t>
  </si>
  <si>
    <t>C1.4 Vistas e modelos arquiteturais</t>
  </si>
  <si>
    <t>C2.1 Implementação funcional</t>
  </si>
  <si>
    <t>C2.2 Padrões, princípios e táticas arquiteturais</t>
  </si>
  <si>
    <t>C3.1Testes funcionais de caixa opaca — classes</t>
  </si>
  <si>
    <t>C3.2 Testes funcionais de caixa transparente — classes de domínio</t>
  </si>
  <si>
    <t>C3.3 Testes de mutação — classes de domínio</t>
  </si>
  <si>
    <t>C3.4 Testes de caixa opaca — conjunto de componentes</t>
  </si>
  <si>
    <t>C3.5 Testes funcionais de caixa opaca — sistema</t>
  </si>
  <si>
    <t>C4.1 Rastreabilidade</t>
  </si>
  <si>
    <t>C4.2 Consistência entre SAD, modelos, implementação e testes</t>
  </si>
  <si>
    <t>Adoção de IA generativa</t>
  </si>
  <si>
    <t>Princípio</t>
  </si>
  <si>
    <t>Descrição</t>
  </si>
  <si>
    <t>A avaliação constitui também uma oportunidade de aprendizagem. O feedback identifica pontos fortes e aspetos a melhorar e orienta o estudante na revisão das suas soluções e no desenvolvimento das suas competências.</t>
  </si>
  <si>
    <t>Avaliação para a aprendizagem</t>
  </si>
  <si>
    <t>Os artefactos e resultados entregues constituem o ponto de partida da avaliação e sustentam a apreciação das competências demonstradas.</t>
  </si>
  <si>
    <t>Competência demonstrada</t>
  </si>
  <si>
    <t>Os estudantes devem demonstrar capacidade para conceber e desenvolver soluções, analisar criticamente a sua adequação, avaliar alternativas e justificar decisões e compromissos, propondo melhorias fundamentadas.</t>
  </si>
  <si>
    <t>A qualidade dos artefactos não compensa a ausência de competência demonstrada, nem uma explicação tecnicamente fundamentada compensa a ausência de evidência adequada. Ambas são necessárias para uma avaliação positiva.</t>
  </si>
  <si>
    <t>Embora os artefactos possam ser desenvolvidos em grupo, a avaliação reflete a competência demonstrada individualmente por cada estudante.</t>
  </si>
  <si>
    <t>É incentivada a utilização de ferramentas de IA generativa como apoio ao desenvolvimento e à aprendizagem. O estudante assume a responsabilidade pelas soluções apresentadas, incluindo as produzidas com apoio destas ferramentas, devendo ser capaz de as analisar criticamente, validar, justificar e melhorar.</t>
  </si>
  <si>
    <t>Não apresenta evidência técnica relevante OU não demonstra competência nos aspetos essenciais do subcritério. Zero obrigatório, independentemente da qualidade aparente do artefacto.</t>
  </si>
  <si>
    <t>Apresenta evidência muito limitada e um desempenho com falhas graves. Demonstra competência apenas em aspetos elementares, com aplicação deficiente e justificação frágil ou incompleta.</t>
  </si>
  <si>
    <t>Apresenta evidência parcial e um desempenho insuficiente. Aplica procedimentos e soluções com limitações relevantes e analisa ou justifica as decisões de forma incompleta.</t>
  </si>
  <si>
    <t>Apresenta evidência suficiente e um desempenho adequado nos aspetos essenciais. Desenvolve soluções pertinentes, analisa os resultados e justifica as principais decisões, embora com limitações identificáveis.</t>
  </si>
  <si>
    <t>Apresenta evidência sólida e um desempenho consistente e autónomo. Desenvolve soluções fundamentadas, avalia alternativas e compromissos e propõe melhorias adequadas.</t>
  </si>
  <si>
    <t>Apresenta evidência abrangente e um desempenho rigoroso e autónomo. Avalia criticamente soluções, resultados e consequências, fundamenta decisões e melhorias e reconhece limitações e condições de aplicação.</t>
  </si>
  <si>
    <t>Critério</t>
  </si>
  <si>
    <t>C1. A aplicação está arquiteturalmente bem concebida</t>
  </si>
  <si>
    <t>C2. A aplicação está funcional e arquiteturalmente bem implementada</t>
  </si>
  <si>
    <t>C3. Os testes automáticos são adequados e fundamentados</t>
  </si>
  <si>
    <t>C4. Os artefactos são rastreáveis e consistentes</t>
  </si>
  <si>
    <t>Não apresenta evidência técnica relevante para este subcritério OU não demonstra competência nos seus aspetos essenciais. Zero obrigatório, independentemente da qualidade aparente do artefacto.</t>
  </si>
  <si>
    <t>Identifica requisitos elementares, mas distingue e aplica de forma deficiente requisitos, restrições e atributos de qualidade. A seleção de drivers apresenta falhas graves e justificação frágil.</t>
  </si>
  <si>
    <t>Seleciona alguns drivers pertinentes, mas define prioridades ou cenários de qualidade de forma incompleta. Analisa parcialmente a sua influência nas soluções arquiteturais.</t>
  </si>
  <si>
    <t>Prioriza os drivers essenciais, define cenários verificáveis e usa-os para orientar a conceção. Analisa a adequação das escolhas principais, com limitações identificáveis.</t>
  </si>
  <si>
    <t>Define cenários mensuráveis e prioridades fundamentadas. Avalia conflitos entre drivers e restrições e propõe refinamentos coerentes com as necessidades dos interessados.</t>
  </si>
  <si>
    <t>Valida criticamente a seleção e a priorização dos drivers com evidência. Avalia o impacto de alterações nos cenários e nas decisões e fundamenta melhorias, reconhecendo limitações e condições de validade.</t>
  </si>
  <si>
    <t>Executa passos elementares de ADD, com falhas graves na ligação entre drivers, conceitos de desenho e decomposição. A aplicação e a justificação das escolhas são deficientes.</t>
  </si>
  <si>
    <t>Aplica parcialmente ADD, mas seleciona drivers, distribui responsabilidades ou avalia resultados com lacunas relevantes. A análise da decomposição é incompleta.</t>
  </si>
  <si>
    <t>Aplica ADD em iterações coerentes, seleciona drivers e produz decomposições pertinentes. Analisa os resultados e justifica as escolhas essenciais e a distribuição de responsabilidades.</t>
  </si>
  <si>
    <t>Conduz iterações com autonomia, avalia alternativas de decomposição e refina responsabilidades e interfaces a partir da avaliação dos drivers e dos compromissos identificados.</t>
  </si>
  <si>
    <t>Avalia criticamente a eficácia das iterações com evidência, fundamenta a evolução da decomposição e valida melhorias. Reconhece drivers não satisfeitos, riscos residuais e limites das opções adotadas.</t>
  </si>
  <si>
    <t>Regista decisões elementares, com alternativas pouco pertinentes e falhas graves na comparação. A justificação das escolhas é frágil e não sustenta adequadamente a sua aplicação.</t>
  </si>
  <si>
    <t>Compara algumas alternativas viáveis, mas omite critérios, consequências ou riscos relevantes. Fundamenta apenas parcialmente a adequação das decisões ao contexto.</t>
  </si>
  <si>
    <t>Analisa alternativas viáveis e justifica as principais decisões com critérios ligados aos drivers. Identifica consequências e limitações relevantes da solução adotada.</t>
  </si>
  <si>
    <t>Avalia alternativas e compromissos com autonomia, ponderando benefícios, custos e riscos. Fundamenta as decisões e propõe melhorias ou medidas para reduzir riscos relevantes.</t>
  </si>
  <si>
    <t>Sustenta a avaliação crítica das alternativas com evidência verificável. Fundamenta decisões e melhorias, analisa consequências e riscos residuais e estabelece condições que justificariam rever as escolhas.</t>
  </si>
  <si>
    <t>Produz modelos elementares e parciais, com falhas graves de notação, abstração ou representação de responsabilidades e interações. A justificação das opções é frágil.</t>
  </si>
  <si>
    <t>Constrói vistas parcialmente adequadas, mas omite elementos relevantes ou usa abstrações pouco apropriadas. Analisa e justifica de forma incompleta a representação escolhida.</t>
  </si>
  <si>
    <t>Constrói vistas e modelos pertinentes para representar a arquitetura essencial. Analisa estrutura e comportamento e justifica as principais abstrações e opções de modelação.</t>
  </si>
  <si>
    <t>Seleciona e desenvolve vistas com autonomia, em função das necessidades dos interessados. Usa os modelos para avaliar cenários e alternativas e propõe refinamentos adequados.</t>
  </si>
  <si>
    <t>Usa modelos precisos para avaliar criticamente decisões e cenários relevantes. Valida a adequação das representações, fundamenta melhorias e reconhece o que as abstrações permitem ou não concluir.</t>
  </si>
  <si>
    <t>Implementa comportamentos elementares, com falhas funcionais graves. Demonstra capacidade limitada para localizar os mecanismos relevantes e justificar a sua aplicação aos requisitos.</t>
  </si>
  <si>
    <t>Implementa parcialmente os comportamentos principais, com falhas relevantes em alternativas, limites ou erros. Analisa o funcionamento e justifica as soluções de forma incompleta.</t>
  </si>
  <si>
    <t>Implementa os requisitos essenciais e verifica fluxos normais e erros principais. Analisa os resultados e justifica as escolhas de implementação, identificando limitações.</t>
  </si>
  <si>
    <t>Desenvolve soluções robustas com autonomia, incluindo limites, erros e integrações relevantes. Avalia alternativas de implementação e propõe melhorias fundamentadas nos resultados.</t>
  </si>
  <si>
    <t>Valida criticamente o cumprimento dos requisitos com evidência reproduzível. Avalia a robustez e as consequências das escolhas, fundamenta melhorias e reconhece falhas residuais e condições de funcionamento.</t>
  </si>
  <si>
    <t>Aplica mecanismos arquiteturais elementares, com falhas graves de responsabilidades ou dependências. A justificação da escolha e da utilização de padrões, princípios ou táticas é frágil.</t>
  </si>
  <si>
    <t>Aplica alguns mecanismos pertinentes, mas com limitações relevantes na sua concretização. Analisa parcialmente a relação entre os mecanismos implementados e os drivers.</t>
  </si>
  <si>
    <t>Implementa corretamente os padrões, princípios e táticas essenciais. Analisa como os mecanismos respondem aos drivers e justifica as principais responsabilidades e dependências.</t>
  </si>
  <si>
    <t>Combina mecanismos com autonomia e dependências controladas. Avalia alternativas, custos e compromissos e propõe melhorias adequadas aos drivers e ao contexto.</t>
  </si>
  <si>
    <t>Avalia criticamente a eficácia dos mecanismos com evidência verificável. Fundamenta a sua seleção ou revisão, valida melhorias e reconhece custos, limitações e condições em que deixariam de ser adequados.</t>
  </si>
  <si>
    <t>Constrói testes elementares do contrato público das classes, com falhas graves na seleção de dados ou na verificação de resultados. A capacidade de deteção de defeitos é muito limitada.</t>
  </si>
  <si>
    <t>Constrói testes de comportamentos comuns, mas omite partições, limites ou erros relevantes. Justifica de forma incompleta os casos e os resultados esperados.</t>
  </si>
  <si>
    <t>Deriva testes pertinentes do contrato público das classes, com partições, limites e verificações de resultados adequados. Analisa os resultados e justifica os casos essenciais.</t>
  </si>
  <si>
    <t>Desenvolve testes independentes e reproduzíveis com autonomia. Avalia a seleção de casos válidos e inválidos e melhora testes com base nas lacunas identificadas.</t>
  </si>
  <si>
    <t>Avalia criticamente a capacidade de deteção de defeitos e a suficiência dos casos com evidência. Valida melhorias nos testes e fundamenta os limites da seleção e os riscos que permanecem sem verificação.</t>
  </si>
  <si>
    <t>Constrói testes estruturais elementares, com falhas graves na seleção de ramos ou condições e na verificação de resultados. Interpreta de forma deficiente o que a execução permite concluir.</t>
  </si>
  <si>
    <t>Exercita parte da estrutura das classes de domínio, mas omite ramos ou condições relevantes. Analisa de forma incompleta a cobertura e a adequação das verificações de resultados.</t>
  </si>
  <si>
    <t>Deriva testes da estrutura das classes de domínio e verifica os resultados esperados. Analisa a cobertura de ramos ou condições relevantes e justifica as escolhas essenciais.</t>
  </si>
  <si>
    <t>Avalia a cobertura estrutural com autonomia, incluindo erros e condições relevantes. Identifica lacunas e melhora os testes, distinguindo execução de código de deteção efetiva de defeitos.</t>
  </si>
  <si>
    <t>Relaciona criticamente a cobertura estrutural com a capacidade de deteção de defeitos, usando evidência. Valida melhorias nos testes e fundamenta limitações das métricas e riscos não cobertos.</t>
  </si>
  <si>
    <t>Executa uma análise de mutação elementar, com falhas graves de configuração ou de interpretação. A justificação do âmbito e das conclusões é frágil.</t>
  </si>
  <si>
    <t>Configura e executa parcialmente a análise, mas examina poucos sobreviventes ou interpreta a pontuação com limitações relevantes. Fundamenta de forma incompleta a qualidade dos testes.</t>
  </si>
  <si>
    <t>Executa uma análise reproduzível nas classes de domínio. Analisa sobreviventes e distingue insuficiências dos testes de possíveis mutantes equivalentes, justificando as conclusões principais.</t>
  </si>
  <si>
    <t>Analisa mutantes relevantes com autonomia, avalia causas de sobrevivência e melhora os testes de forma fundamentada. Verifica o efeito das alterações na deteção dos mutantes.</t>
  </si>
  <si>
    <t>Avalia criticamente a melhoria da deteção de defeitos com evidência antes e depois das alterações. Fundamenta a análise de sobreviventes e possíveis equivalentes e reconhece limitações dos operadores e da pontuação.</t>
  </si>
  <si>
    <t>Constrói testes elementares de interações, com falhas graves na definição do SUT, nas substituições de dependências ou na verificação dos resultados. A justificação é frágil.</t>
  </si>
  <si>
    <t>Testa parcialmente o fluxo principal do conjunto de componentes, mas omite interações ou erros relevantes. Analisa de forma incompleta a fronteira do SUT e as dependências substituídas.</t>
  </si>
  <si>
    <t>Define uma fronteira adequada do SUT e verifica contratos e fluxos essenciais entre componentes. Analisa os resultados e justifica as dependências reais ou substituídas.</t>
  </si>
  <si>
    <t>Desenvolve testes reproduzíveis com autonomia, incluindo falhas de integração e dados controlados. Avalia as substituições utilizadas e melhora os testes a partir das lacunas identificadas.</t>
  </si>
  <si>
    <t>Avalia criticamente a deteção de falhas entre componentes com evidência. Valida melhorias e fundamenta a representatividade dos testes, reconhecendo conclusões que as substituições e o ambiente não permitem sustentar.</t>
  </si>
  <si>
    <t>Automatiza cenários elementares do sistema, com falhas graves na preparação, na execução ou na verificação dos resultados. A justificação da seleção de cenários é frágil.</t>
  </si>
  <si>
    <t>Testa parcialmente fluxos principais, mas omite alternativas ou erros relevantes. Analisa de forma incompleta a preparação do ambiente, os dados e os resultados obtidos.</t>
  </si>
  <si>
    <t>Automatiza cenários essenciais de aceitação através das interfaces externas do sistema. Verifica os resultados e justifica a relação dos cenários com os requisitos principais.</t>
  </si>
  <si>
    <t>Desenvolve testes de sistema reproduzíveis com autonomia, incluindo alternativas e erros críticos. Avalia riscos e estabilidade dos testes e propõe melhorias adequadas.</t>
  </si>
  <si>
    <t>Avalia criticamente a cobertura dos requisitos e dos riscos com resultados reproduzíveis. Valida melhorias na seleção ou na execução dos testes e fundamenta limitações do ambiente e das conclusões de aceitação.</t>
  </si>
  <si>
    <t>Estabelece ligações elementares entre artefactos, com falhas graves de identificação ou verificabilidade. Demonstra capacidade muito limitada para seguir uma relação relevante e justificar o seu significado.</t>
  </si>
  <si>
    <t>Relaciona alguns requisitos com decisões, código ou testes, mas mantém lacunas relevantes. Analisa de forma incompleta a cobertura das ligações e o impacto de alterações.</t>
  </si>
  <si>
    <t>Estabelece ligações verificáveis entre requisitos ou drivers, decisões, modelos, código e testes essenciais. Percorre essas ligações e analisa o impacto de uma alteração relevante.</t>
  </si>
  <si>
    <t>Mantém rastreabilidade bidirecional com versões identificadas. Avalia a cobertura das ligações e o impacto de alterações, identifica lacunas e propõe melhorias adequadas.</t>
  </si>
  <si>
    <t>Usa a rastreabilidade atualizada para avaliar criticamente o impacto de alterações e detetar lacunas de cobertura, com evidência verificável. Fundamenta melhorias nas ligações e reconhece os limites da análise realizada.</t>
  </si>
  <si>
    <t>Confronta elementos básicos dos artefactos, mas persistem contradições graves. Demonstra capacidade muito limitada para verificar se documentação, modelos, código e testes representam a mesma solução.</t>
  </si>
  <si>
    <t>Verifica correspondências parciais entre artefactos, mas deixa divergências relevantes sem análise ou resolução adequada. Justifica de forma incompleta as diferenças encontradas.</t>
  </si>
  <si>
    <t>Verifica a coerência dos elementos essenciais do SAD, modelos, implementação e testes. Analisa correspondências, identifica divergências e fundamenta as conclusões principais.</t>
  </si>
  <si>
    <t>Verifica sistematicamente a coerência entre versões identificadas dos artefactos. Avalia e resolve ou justifica divergências e propõe melhorias que previnem a sua recorrência.</t>
  </si>
  <si>
    <t>Valida a coerência semântica dos artefactos após alterações, com evidência verificável. Avalia consequências de eventuais divergências, fundamenta correções ou medidas preventivas e reconhece limitações e riscos residuais.</t>
  </si>
  <si>
    <t>Exemplos de evidências para o nível 5 (18–20)</t>
  </si>
  <si>
    <t>LMS: extensibilidade, configurabilidade e testabilidade como drivers das fontes bibliográficas.
Referências: enunciado P1 v1.1, §§1.2 e 1.3.3.1.
- Relacionar os modelos e os dados parciais de Google Books/Open Library com decisões de integração.
- Definir um cenário verificável para acrescentar uma fonte com impacto limitado e fundamentar o critério de avaliação.
- Avaliar alterações necessárias em módulos e testes, justificando os compromissos entre extensibilidade e complexidade.
- Propor um refinamento fundamentado e reconhecer limites da análise.
Evidência: drivers priorizados, cenário, decisões e análise ou experiência identificada. O critério operacional de «impacto limitado» deve ser justificado pelo estudante; não é um limiar numérico imposto pelo enunciado.</t>
  </si>
  <si>
    <t>LMS: iteração ADD para integrar Google Books e Open Library.
Referências: enunciado P1 v1.1, §§1.3.2 e 1.3.3.1.
- Selecionar os drivers de múltiplas fontes, modelos distintos e extensão com impacto limitado.
- Justificar conceitos de desenho, responsabilidades, interfaces e uma decomposição que permita configurar as fontes no arranque.
- Avaliar uma alternativa e usar uma revisão ou experiência para fundamentar o refinamento da iteração.
- Identificar compromissos e drivers ainda não satisfeitos.
Evidência: registo ADD conciso, modelos e resultados de avaliação. O estudante deve reconstruir o raciocínio e avaliar a eficácia da decomposição. Padrões concretos e uma terceira fonte implementada não são exigidos por este exemplo.</t>
  </si>
  <si>
    <t>LMS: alternativas para implementar e selecionar as políticas Standard e Adaptive.
Referências: enunciado P1 v1.1, §1.3.3.3; Políticas de empréstimo v1.0, §§2–5.
- Comparar uma implementação centralizada com políticas encapsuladas, usando critérios de extensão, configuração e teste.
- Avaliar como cada alternativa permite selecionar a política em cada pedido de empréstimo ou renovação.
- Sustentar benefícios, custos e riscos com código, testes ou uma experiência identificada.
- Fundamentar uma melhoria e indicar condições que justificariam rever a decisão.
Evidência: ADR ou memo e elementos que sustentam a comparação. O nível 5 resulta da avaliação crítica e das consequências analisadas; a adoção de um padrão específico não é obrigatória.</t>
  </si>
  <si>
    <t>LMS: modelos da integração bibliográfica e da seleção de políticas de empréstimo.
Referências: enunciado P1 v1.1, §§1.3.1 e 1.3.3.1–1.3.3.3; Políticas v1.0, §4.3.
- Relacionar vistas estruturais e comportamentais, em níveis de abstração adequados.
- Percorrer uma consulta a fontes com modelos distintos e um pedido que exige reavaliar a política aplicável.
- Distinguir nos modelos a configuração no arranque da seleção de política em execução.
- Usar os modelos para avaliar uma alternativa ou melhoria e justificar as abstrações e os seus limites.
Evidência: diagramas referenciados e demonstração dos cenários. O estudante deve avaliar o que os modelos permitem concluir; o exemplo não exige um conjunto fixo ou um número adicional de diagramas.</t>
  </si>
  <si>
    <t>LMS: validar as funcionalidades desenvolvidas em P1.
Referências: enunciado P1 v1.1, §1.3.3.1–1.3.3.3; Políticas v1.0, §§2–5.
- Demonstrar fontes bibliográficas configuradas, individualmente e em conjunto, e analisar diferenças nos dados recebidos.
- Demonstrar mecanismos de notificação configurados individualmente e em combinação para eventos relevantes de empréstimo.
- Executar empréstimos e renovações com políticas Standard/Adaptive e parâmetros externos, sem editar o código para alterar os parâmetros.
- Analisar resultados e limites, fundamentando uma melhoria validada por evidência.
Evidência: versão executável, configurações, testes e resultados reproduzíveis. Regras de combinação de dados e eventos concretos devem ser explicitados e justificados quando não estiverem definidos no enunciado.</t>
  </si>
  <si>
    <t>LMS: mecanismos para acrescentar fontes bibliográficas ou canais de notificação com impacto limitado.
Referências: enunciado P1 v1.1, §§1.3.3.1–1.3.3.2.
- Localizar no código os mecanismos que isolam Google Books/Open Library ou email/SMS/webhook e permitem a seleção no arranque.
- Avaliar uma extensão representativa, identificando o que muda e o que permanece válido em código, configuração e testes.
- Comparar a solução com uma alternativa mais simples e justificar dependências e compromissos.
- Fundamentar um refinamento e reconhecer custos e limites dos mecanismos.
Evidência: código, configuração e análise ou experiência de extensão. A fundamentação deve mostrar a eficácia da solução; este exemplo não impõe um padrão nem exige implementar fornecedores adicionais aos definidos no projeto.</t>
  </si>
  <si>
    <t>LMS: testes de caixa opaca às classes que aplicam a Standard Lending Policy.
Referências: enunciado P1 v1.1, §1.3.3.4, ponto 1; Políticas v1.0, §§2.1–2.5.
- Derivar casos do contrato público para o máximo de empréstimos ativos, renovações e impedimentos por atraso.
- Justificar partições e limites, incluindo MaxActiveLendings−1/MaxActiveLendings e o limite MaxRenewals.
- Verificar aceitação ou rejeição e os efeitos esperados, sem depender da estrutura interna.
- Avaliar um defeito detetado ou uma experiência controlada, melhorar os testes e reconhecer lacunas.
Evidência: contrato, casos, testes e resultados reproduzíveis. Os valores usados são configurações de teste válidas, não novos requisitos; a interpretação da contagem de renovações deve estar explícita.</t>
  </si>
  <si>
    <t>LMS: testes estruturais da seleção da política nas classes de domínio.
Referências: enunciado P1 v1.1, §1.3.3.4, ponto 2; Políticas v1.0, §§4.1–4.3.
- Relacionar casos com ramos e condições do histórico, MinCompletedLendings, MinOnTimeRatio e ausência de atrasos.
- Variar condições mantendo as restantes controladas, incluindo os limites de elegibilidade.
- Confrontar cobertura com verificações de resultados: percorrer um ramo não garante detetar a escolha errada da política.
- Fundamentar melhorias e riscos ainda não cobertos.
Evidência: código de domínio, testes, cobertura e resultados. O estudante deve avaliar a força dos testes e demonstrar a seleção Adaptive quando todas as condições se verificam e Standard por defeito, reconhecendo limites das métricas.</t>
  </si>
  <si>
    <t>LMS: mutação das condições da Adaptive Lending Policy nas classes de domínio.
Referências: enunciado P1 v1.1, §1.3.3.4, ponto 3; Políticas v1.0, §§3.2–3.5.
- Analisar mutações dos operadores de comparação de FirstThreshold e SecondThreshold.
- Relacionar sobreviventes com casos nos limiares e com a verificação de LongPeriod, StandardPeriod ou ShortPeriod.
- Melhorar os testes e comparar resultados antes e depois, justificando a causa da melhoria.
- Fundamentar possíveis equivalências e reconhecer limites dos operadores e das configurações avaliadas.
Evidência: configuração, relatório, exemplos de mutantes e alterações aos testes. Os parâmetros devem respeitar as restrições da especificação. Uma pontuação elevada, isoladamente, não demonstra capacidade de análise ou qualidade dos testes.</t>
  </si>
  <si>
    <t>LMS: testar controller + service + {domain, repository, gateways} na consulta bibliográfica.
Referências: enunciado P1 v1.1, §1.3.3.1 e §1.3.3.4, ponto 4.
- Delimitar o SUT e justificar dependências reais ou substituídas.
- Usar respostas representativas de Google Books/Open Library, com modelos e subconjuntos de dados distintos.
- Verificar a seleção de uma ou mais fontes no arranque e o resultado segundo as decisões de integração documentadas.
- Analisar uma falha detetada, fundamentar uma melhoria e reconhecer o que as substituições não permitem validar sobre os serviços reais.
Evidência: configuração, dados, testes e resultados reproduzíveis. Regras de precedência ou combinação dos dados devem ser assumidas como decisões do projeto, quando não especificadas no enunciado.</t>
  </si>
  <si>
    <t>LMS: testes de aceitação de empréstimos e renovações através das interfaces externas do sistema.
Referências: enunciado P1 v1.1, §1.3.3.3 e §1.3.3.4, ponto 5; Políticas v1.0, §§2–5.
- Preparar configurações e leitores com históricos controlados para aplicar Standard ou Adaptive.
- Executar pedidos e verificar elegibilidade, prazos, limites e impedimentos definidos na especificação.
- Confirmar a reavaliação da política em novos pedidos e renovações, incluindo após alterações relevantes no histórico do leitor.
- Avaliar riscos e estabilidade dos testes, validar uma melhoria e reconhecer limites do ambiente.
Evidência: cenários, configuração e resultados reproduzíveis. A seleção deve ser representativa das funcionalidades desenvolvidas; o enunciado prioriza qualidade e representatividade sobre quantidade e cobertura exaustiva.</t>
  </si>
  <si>
    <t>LMS: rastrear a seleção das políticas e analisar o impacto de alterar um parâmetro configurável.
Referências: enunciado P1 v1.1, §1.3.1, ponto 4, e §1.3.3.3; Políticas v1.0, §§4–5.
- Ligar regras de elegibilidade e reavaliação a decisões, diagramas, código de seleção e testes, em versões identificadas.
- Analisar a alteração de MinOnTimeRatio no arranque e identificar configuração, dados de teste e artefactos afetados, sem pressupor uma alteração ao código.
- Percorrer as ligações no sentido inverso e identificar lacunas, por exemplo um teste em falta para a reavaliação na renovação (§4.3).
- Fundamentar melhorias nas ligações e os limites da análise.
Evidência: tabela curta com referências verificáveis e demonstração individual. O nível 5 resulta da análise de impacto e da cobertura das ligações, não da quantidade de referências.</t>
  </si>
  <si>
    <t>LMS: verificar a coerência da seleção Standard/Adaptive entre SAD, modelos, código e testes.
Referências: enunciado P1 v1.1, §1.3.1, ponto 4; Políticas v1.0, §§4.3 e 5.
- Confrontar versões identificadas e verificar que os parâmetros são configurados no arranque, mas a política é reavaliada em cada pedido de empréstimo ou renovação.
- Detetar, por exemplo, um diagrama que fixa a política no arranque, apesar de o código a selecionar em execução.
- Fundamentar a correção e validá-la com cenários de empréstimo e renovação após mudança relevante no histórico do leitor.
- Avaliar consequências e medidas que previnam divergências futuras.
Evidência: referências, comparação semântica e resultados de verificação. Se os artefactos já forem coerentes, demonstrar essa coerência e os seus limites; não é necessário inventar uma divergência.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</si>
</sst>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rlito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10" fontId="1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164E-A65B-894C-BD65-57D7ED018CB8}">
  <dimension ref="A1:B7"/>
  <sheetViews>
    <sheetView tabSelected="1" zoomScale="113" workbookViewId="0">
      <selection activeCell="A2" sqref="A2"/>
    </sheetView>
  </sheetViews>
  <sheetFormatPr baseColWidth="10" defaultRowHeight="37" customHeight="1"/>
  <cols>
    <col min="1" max="1" width="36" style="25" customWidth="1"/>
    <col min="2" max="2" width="99" style="25" customWidth="1"/>
    <col min="3" max="16384" width="10.83203125" style="25"/>
  </cols>
  <sheetData>
    <row r="1" spans="1:2" ht="25" customHeight="1">
      <c r="A1" s="27" t="s">
        <v>73</v>
      </c>
      <c r="B1" s="27" t="s">
        <v>74</v>
      </c>
    </row>
    <row r="2" spans="1:2" s="28" customFormat="1" ht="37" customHeight="1">
      <c r="A2" s="26" t="s">
        <v>76</v>
      </c>
      <c r="B2" s="26" t="s">
        <v>75</v>
      </c>
    </row>
    <row r="3" spans="1:2" s="28" customFormat="1" ht="37" customHeight="1">
      <c r="A3" s="26" t="s">
        <v>55</v>
      </c>
      <c r="B3" s="26" t="s">
        <v>77</v>
      </c>
    </row>
    <row r="4" spans="1:2" s="28" customFormat="1" ht="37" customHeight="1">
      <c r="A4" s="26" t="s">
        <v>78</v>
      </c>
      <c r="B4" s="26" t="s">
        <v>79</v>
      </c>
    </row>
    <row r="5" spans="1:2" s="28" customFormat="1" ht="51">
      <c r="A5" s="26" t="s">
        <v>56</v>
      </c>
      <c r="B5" s="26" t="s">
        <v>80</v>
      </c>
    </row>
    <row r="6" spans="1:2" s="28" customFormat="1" ht="37" customHeight="1">
      <c r="A6" s="26" t="s">
        <v>57</v>
      </c>
      <c r="B6" s="26" t="s">
        <v>81</v>
      </c>
    </row>
    <row r="7" spans="1:2" s="28" customFormat="1" ht="51">
      <c r="A7" s="26" t="s">
        <v>72</v>
      </c>
      <c r="B7" s="26" t="s">
        <v>82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showGridLines="0" zoomScale="108" workbookViewId="0">
      <pane xSplit="2" ySplit="9" topLeftCell="C10" activePane="bottomRight" state="frozen"/>
      <selection activeCell="E13" sqref="E13"/>
      <selection pane="topRight" activeCell="E13" sqref="E13"/>
      <selection pane="bottomLeft" activeCell="E13" sqref="E13"/>
      <selection pane="bottomRight" activeCell="E10" sqref="E10:E15"/>
    </sheetView>
  </sheetViews>
  <sheetFormatPr baseColWidth="10" defaultColWidth="8.83203125" defaultRowHeight="34" customHeight="1"/>
  <cols>
    <col min="1" max="1" width="16.5" customWidth="1"/>
    <col min="2" max="2" width="14.6640625" style="24" customWidth="1"/>
    <col min="3" max="3" width="15" style="24" customWidth="1"/>
    <col min="4" max="4" width="122.6640625" customWidth="1"/>
    <col min="5" max="5" width="103.6640625" customWidth="1"/>
  </cols>
  <sheetData>
    <row r="1" spans="1:5" ht="21" customHeight="1">
      <c r="B1" s="20" t="s">
        <v>38</v>
      </c>
      <c r="C1" s="20" t="s">
        <v>39</v>
      </c>
      <c r="D1" s="21" t="s">
        <v>40</v>
      </c>
    </row>
    <row r="2" spans="1:5" ht="30">
      <c r="B2" s="22">
        <v>0</v>
      </c>
      <c r="C2" s="22">
        <v>0</v>
      </c>
      <c r="D2" s="23" t="s">
        <v>83</v>
      </c>
    </row>
    <row r="3" spans="1:5" ht="30">
      <c r="B3" s="22">
        <v>1</v>
      </c>
      <c r="C3" s="22" t="s">
        <v>42</v>
      </c>
      <c r="D3" s="23" t="s">
        <v>84</v>
      </c>
    </row>
    <row r="4" spans="1:5" ht="30">
      <c r="B4" s="22">
        <v>2</v>
      </c>
      <c r="C4" s="22" t="s">
        <v>43</v>
      </c>
      <c r="D4" s="23" t="s">
        <v>85</v>
      </c>
    </row>
    <row r="5" spans="1:5" ht="30">
      <c r="B5" s="22">
        <v>3</v>
      </c>
      <c r="C5" s="22" t="s">
        <v>44</v>
      </c>
      <c r="D5" s="23" t="s">
        <v>86</v>
      </c>
    </row>
    <row r="6" spans="1:5" ht="30">
      <c r="B6" s="22">
        <v>4</v>
      </c>
      <c r="C6" s="22" t="s">
        <v>45</v>
      </c>
      <c r="D6" s="23" t="s">
        <v>87</v>
      </c>
    </row>
    <row r="7" spans="1:5" ht="30">
      <c r="B7" s="22">
        <v>5</v>
      </c>
      <c r="C7" s="22" t="s">
        <v>46</v>
      </c>
      <c r="D7" s="23" t="s">
        <v>88</v>
      </c>
    </row>
    <row r="8" spans="1:5" ht="9" customHeight="1">
      <c r="B8" s="19"/>
      <c r="C8" s="19"/>
      <c r="D8" s="18"/>
    </row>
    <row r="9" spans="1:5" ht="22" customHeight="1">
      <c r="A9" s="20" t="s">
        <v>89</v>
      </c>
      <c r="B9" s="20" t="s">
        <v>47</v>
      </c>
      <c r="C9" s="20" t="s">
        <v>39</v>
      </c>
      <c r="D9" s="21" t="s">
        <v>48</v>
      </c>
      <c r="E9" s="21" t="s">
        <v>160</v>
      </c>
    </row>
    <row r="10" spans="1:5" ht="30" customHeight="1">
      <c r="A10" s="36" t="s">
        <v>90</v>
      </c>
      <c r="B10" s="33" t="s">
        <v>59</v>
      </c>
      <c r="C10" s="22" t="s">
        <v>41</v>
      </c>
      <c r="D10" s="23" t="s">
        <v>94</v>
      </c>
      <c r="E10" s="34" t="s">
        <v>161</v>
      </c>
    </row>
    <row r="11" spans="1:5" ht="30" customHeight="1">
      <c r="A11" s="36"/>
      <c r="B11" s="33"/>
      <c r="C11" s="22" t="s">
        <v>42</v>
      </c>
      <c r="D11" s="23" t="s">
        <v>95</v>
      </c>
      <c r="E11" s="37"/>
    </row>
    <row r="12" spans="1:5" ht="30" customHeight="1">
      <c r="A12" s="36"/>
      <c r="B12" s="33"/>
      <c r="C12" s="22" t="s">
        <v>43</v>
      </c>
      <c r="D12" s="23" t="s">
        <v>96</v>
      </c>
      <c r="E12" s="37"/>
    </row>
    <row r="13" spans="1:5" ht="30" customHeight="1">
      <c r="A13" s="36"/>
      <c r="B13" s="33"/>
      <c r="C13" s="22" t="s">
        <v>44</v>
      </c>
      <c r="D13" s="23" t="s">
        <v>97</v>
      </c>
      <c r="E13" s="37"/>
    </row>
    <row r="14" spans="1:5" ht="30" customHeight="1">
      <c r="A14" s="36"/>
      <c r="B14" s="33"/>
      <c r="C14" s="22" t="s">
        <v>45</v>
      </c>
      <c r="D14" s="23" t="s">
        <v>98</v>
      </c>
      <c r="E14" s="37"/>
    </row>
    <row r="15" spans="1:5" ht="30" customHeight="1">
      <c r="A15" s="36"/>
      <c r="B15" s="33"/>
      <c r="C15" s="22" t="s">
        <v>46</v>
      </c>
      <c r="D15" s="23" t="s">
        <v>99</v>
      </c>
      <c r="E15" s="37"/>
    </row>
    <row r="16" spans="1:5" ht="30" customHeight="1">
      <c r="A16" s="36"/>
      <c r="B16" s="33" t="s">
        <v>60</v>
      </c>
      <c r="C16" s="22" t="s">
        <v>41</v>
      </c>
      <c r="D16" s="23" t="s">
        <v>94</v>
      </c>
      <c r="E16" s="34" t="s">
        <v>162</v>
      </c>
    </row>
    <row r="17" spans="1:5" ht="30" customHeight="1">
      <c r="A17" s="36"/>
      <c r="B17" s="33"/>
      <c r="C17" s="22" t="s">
        <v>42</v>
      </c>
      <c r="D17" s="23" t="s">
        <v>100</v>
      </c>
      <c r="E17" s="37"/>
    </row>
    <row r="18" spans="1:5" ht="30" customHeight="1">
      <c r="A18" s="36"/>
      <c r="B18" s="33"/>
      <c r="C18" s="22" t="s">
        <v>43</v>
      </c>
      <c r="D18" s="23" t="s">
        <v>101</v>
      </c>
      <c r="E18" s="37"/>
    </row>
    <row r="19" spans="1:5" ht="30" customHeight="1">
      <c r="A19" s="36"/>
      <c r="B19" s="33"/>
      <c r="C19" s="22" t="s">
        <v>44</v>
      </c>
      <c r="D19" s="23" t="s">
        <v>102</v>
      </c>
      <c r="E19" s="37"/>
    </row>
    <row r="20" spans="1:5" ht="30" customHeight="1">
      <c r="A20" s="36"/>
      <c r="B20" s="33"/>
      <c r="C20" s="22" t="s">
        <v>45</v>
      </c>
      <c r="D20" s="23" t="s">
        <v>103</v>
      </c>
      <c r="E20" s="37"/>
    </row>
    <row r="21" spans="1:5" ht="30" customHeight="1">
      <c r="A21" s="36"/>
      <c r="B21" s="33"/>
      <c r="C21" s="22" t="s">
        <v>46</v>
      </c>
      <c r="D21" s="23" t="s">
        <v>104</v>
      </c>
      <c r="E21" s="37"/>
    </row>
    <row r="22" spans="1:5" ht="30" customHeight="1">
      <c r="A22" s="36"/>
      <c r="B22" s="33" t="s">
        <v>61</v>
      </c>
      <c r="C22" s="22" t="s">
        <v>41</v>
      </c>
      <c r="D22" s="23" t="s">
        <v>94</v>
      </c>
      <c r="E22" s="34" t="s">
        <v>163</v>
      </c>
    </row>
    <row r="23" spans="1:5" ht="30" customHeight="1">
      <c r="A23" s="36"/>
      <c r="B23" s="33"/>
      <c r="C23" s="22" t="s">
        <v>42</v>
      </c>
      <c r="D23" s="23" t="s">
        <v>105</v>
      </c>
      <c r="E23" s="37"/>
    </row>
    <row r="24" spans="1:5" ht="30" customHeight="1">
      <c r="A24" s="36"/>
      <c r="B24" s="33"/>
      <c r="C24" s="22" t="s">
        <v>43</v>
      </c>
      <c r="D24" s="23" t="s">
        <v>106</v>
      </c>
      <c r="E24" s="37"/>
    </row>
    <row r="25" spans="1:5" ht="30" customHeight="1">
      <c r="A25" s="36"/>
      <c r="B25" s="33"/>
      <c r="C25" s="22" t="s">
        <v>44</v>
      </c>
      <c r="D25" s="23" t="s">
        <v>107</v>
      </c>
      <c r="E25" s="37"/>
    </row>
    <row r="26" spans="1:5" ht="30" customHeight="1">
      <c r="A26" s="36"/>
      <c r="B26" s="33"/>
      <c r="C26" s="22" t="s">
        <v>45</v>
      </c>
      <c r="D26" s="23" t="s">
        <v>108</v>
      </c>
      <c r="E26" s="37"/>
    </row>
    <row r="27" spans="1:5" ht="30" customHeight="1">
      <c r="A27" s="36"/>
      <c r="B27" s="33"/>
      <c r="C27" s="22" t="s">
        <v>46</v>
      </c>
      <c r="D27" s="23" t="s">
        <v>109</v>
      </c>
      <c r="E27" s="37"/>
    </row>
    <row r="28" spans="1:5" ht="30" customHeight="1">
      <c r="A28" s="36"/>
      <c r="B28" s="33" t="s">
        <v>62</v>
      </c>
      <c r="C28" s="22" t="s">
        <v>41</v>
      </c>
      <c r="D28" s="23" t="s">
        <v>94</v>
      </c>
      <c r="E28" s="34" t="s">
        <v>164</v>
      </c>
    </row>
    <row r="29" spans="1:5" ht="30" customHeight="1">
      <c r="A29" s="36"/>
      <c r="B29" s="33"/>
      <c r="C29" s="22" t="s">
        <v>42</v>
      </c>
      <c r="D29" s="23" t="s">
        <v>110</v>
      </c>
      <c r="E29" s="37"/>
    </row>
    <row r="30" spans="1:5" ht="30" customHeight="1">
      <c r="A30" s="36"/>
      <c r="B30" s="33"/>
      <c r="C30" s="22" t="s">
        <v>43</v>
      </c>
      <c r="D30" s="23" t="s">
        <v>111</v>
      </c>
      <c r="E30" s="37"/>
    </row>
    <row r="31" spans="1:5" ht="30" customHeight="1">
      <c r="A31" s="36"/>
      <c r="B31" s="33"/>
      <c r="C31" s="22" t="s">
        <v>44</v>
      </c>
      <c r="D31" s="23" t="s">
        <v>112</v>
      </c>
      <c r="E31" s="37"/>
    </row>
    <row r="32" spans="1:5" ht="30" customHeight="1">
      <c r="A32" s="36"/>
      <c r="B32" s="33"/>
      <c r="C32" s="22" t="s">
        <v>45</v>
      </c>
      <c r="D32" s="23" t="s">
        <v>113</v>
      </c>
      <c r="E32" s="37"/>
    </row>
    <row r="33" spans="1:5" ht="30" customHeight="1">
      <c r="A33" s="36"/>
      <c r="B33" s="33"/>
      <c r="C33" s="22" t="s">
        <v>46</v>
      </c>
      <c r="D33" s="23" t="s">
        <v>114</v>
      </c>
      <c r="E33" s="37"/>
    </row>
    <row r="34" spans="1:5" ht="30" customHeight="1">
      <c r="A34" s="36" t="s">
        <v>91</v>
      </c>
      <c r="B34" s="33" t="s">
        <v>63</v>
      </c>
      <c r="C34" s="22" t="s">
        <v>41</v>
      </c>
      <c r="D34" s="23" t="s">
        <v>94</v>
      </c>
      <c r="E34" s="34" t="s">
        <v>165</v>
      </c>
    </row>
    <row r="35" spans="1:5" ht="30" customHeight="1">
      <c r="A35" s="36"/>
      <c r="B35" s="33"/>
      <c r="C35" s="22" t="s">
        <v>42</v>
      </c>
      <c r="D35" s="23" t="s">
        <v>115</v>
      </c>
      <c r="E35" s="37"/>
    </row>
    <row r="36" spans="1:5" ht="30" customHeight="1">
      <c r="A36" s="36"/>
      <c r="B36" s="33"/>
      <c r="C36" s="22" t="s">
        <v>43</v>
      </c>
      <c r="D36" s="23" t="s">
        <v>116</v>
      </c>
      <c r="E36" s="37"/>
    </row>
    <row r="37" spans="1:5" ht="30" customHeight="1">
      <c r="A37" s="36"/>
      <c r="B37" s="33"/>
      <c r="C37" s="22" t="s">
        <v>44</v>
      </c>
      <c r="D37" s="23" t="s">
        <v>117</v>
      </c>
      <c r="E37" s="37"/>
    </row>
    <row r="38" spans="1:5" ht="30" customHeight="1">
      <c r="A38" s="36"/>
      <c r="B38" s="33"/>
      <c r="C38" s="22" t="s">
        <v>45</v>
      </c>
      <c r="D38" s="23" t="s">
        <v>118</v>
      </c>
      <c r="E38" s="37"/>
    </row>
    <row r="39" spans="1:5" ht="30" customHeight="1">
      <c r="A39" s="36"/>
      <c r="B39" s="33"/>
      <c r="C39" s="22" t="s">
        <v>46</v>
      </c>
      <c r="D39" s="23" t="s">
        <v>119</v>
      </c>
      <c r="E39" s="37"/>
    </row>
    <row r="40" spans="1:5" ht="30" customHeight="1">
      <c r="A40" s="36"/>
      <c r="B40" s="33" t="s">
        <v>64</v>
      </c>
      <c r="C40" s="22" t="s">
        <v>41</v>
      </c>
      <c r="D40" s="23" t="s">
        <v>94</v>
      </c>
      <c r="E40" s="34" t="s">
        <v>166</v>
      </c>
    </row>
    <row r="41" spans="1:5" ht="30" customHeight="1">
      <c r="A41" s="36"/>
      <c r="B41" s="33"/>
      <c r="C41" s="22" t="s">
        <v>42</v>
      </c>
      <c r="D41" s="23" t="s">
        <v>120</v>
      </c>
      <c r="E41" s="37"/>
    </row>
    <row r="42" spans="1:5" ht="30" customHeight="1">
      <c r="A42" s="36"/>
      <c r="B42" s="33"/>
      <c r="C42" s="22" t="s">
        <v>43</v>
      </c>
      <c r="D42" s="23" t="s">
        <v>121</v>
      </c>
      <c r="E42" s="37"/>
    </row>
    <row r="43" spans="1:5" ht="30" customHeight="1">
      <c r="A43" s="36"/>
      <c r="B43" s="33"/>
      <c r="C43" s="22" t="s">
        <v>44</v>
      </c>
      <c r="D43" s="23" t="s">
        <v>122</v>
      </c>
      <c r="E43" s="37"/>
    </row>
    <row r="44" spans="1:5" ht="30" customHeight="1">
      <c r="A44" s="36"/>
      <c r="B44" s="33"/>
      <c r="C44" s="22" t="s">
        <v>45</v>
      </c>
      <c r="D44" s="23" t="s">
        <v>123</v>
      </c>
      <c r="E44" s="37"/>
    </row>
    <row r="45" spans="1:5" ht="30" customHeight="1">
      <c r="A45" s="36"/>
      <c r="B45" s="33"/>
      <c r="C45" s="22" t="s">
        <v>46</v>
      </c>
      <c r="D45" s="23" t="s">
        <v>124</v>
      </c>
      <c r="E45" s="37"/>
    </row>
    <row r="46" spans="1:5" ht="30" customHeight="1">
      <c r="A46" s="36" t="s">
        <v>92</v>
      </c>
      <c r="B46" s="33" t="s">
        <v>65</v>
      </c>
      <c r="C46" s="22" t="s">
        <v>41</v>
      </c>
      <c r="D46" s="23" t="s">
        <v>94</v>
      </c>
      <c r="E46" s="34" t="s">
        <v>167</v>
      </c>
    </row>
    <row r="47" spans="1:5" ht="30" customHeight="1">
      <c r="A47" s="36"/>
      <c r="B47" s="33"/>
      <c r="C47" s="22" t="s">
        <v>42</v>
      </c>
      <c r="D47" s="23" t="s">
        <v>125</v>
      </c>
      <c r="E47" s="37"/>
    </row>
    <row r="48" spans="1:5" ht="30" customHeight="1">
      <c r="A48" s="36"/>
      <c r="B48" s="33"/>
      <c r="C48" s="22" t="s">
        <v>43</v>
      </c>
      <c r="D48" s="23" t="s">
        <v>126</v>
      </c>
      <c r="E48" s="37"/>
    </row>
    <row r="49" spans="1:5" ht="30" customHeight="1">
      <c r="A49" s="36"/>
      <c r="B49" s="33"/>
      <c r="C49" s="22" t="s">
        <v>44</v>
      </c>
      <c r="D49" s="23" t="s">
        <v>127</v>
      </c>
      <c r="E49" s="37"/>
    </row>
    <row r="50" spans="1:5" ht="30" customHeight="1">
      <c r="A50" s="36"/>
      <c r="B50" s="33"/>
      <c r="C50" s="22" t="s">
        <v>45</v>
      </c>
      <c r="D50" s="23" t="s">
        <v>128</v>
      </c>
      <c r="E50" s="37"/>
    </row>
    <row r="51" spans="1:5" ht="30" customHeight="1">
      <c r="A51" s="36"/>
      <c r="B51" s="33"/>
      <c r="C51" s="22" t="s">
        <v>46</v>
      </c>
      <c r="D51" s="23" t="s">
        <v>129</v>
      </c>
      <c r="E51" s="37"/>
    </row>
    <row r="52" spans="1:5" ht="30" customHeight="1">
      <c r="A52" s="36"/>
      <c r="B52" s="33" t="s">
        <v>66</v>
      </c>
      <c r="C52" s="22" t="s">
        <v>41</v>
      </c>
      <c r="D52" s="23" t="s">
        <v>94</v>
      </c>
      <c r="E52" s="34" t="s">
        <v>168</v>
      </c>
    </row>
    <row r="53" spans="1:5" ht="30" customHeight="1">
      <c r="A53" s="36"/>
      <c r="B53" s="33"/>
      <c r="C53" s="22" t="s">
        <v>42</v>
      </c>
      <c r="D53" s="23" t="s">
        <v>130</v>
      </c>
      <c r="E53" s="37"/>
    </row>
    <row r="54" spans="1:5" ht="30" customHeight="1">
      <c r="A54" s="36"/>
      <c r="B54" s="33"/>
      <c r="C54" s="22" t="s">
        <v>43</v>
      </c>
      <c r="D54" s="23" t="s">
        <v>131</v>
      </c>
      <c r="E54" s="37"/>
    </row>
    <row r="55" spans="1:5" ht="30" customHeight="1">
      <c r="A55" s="36"/>
      <c r="B55" s="33"/>
      <c r="C55" s="22" t="s">
        <v>44</v>
      </c>
      <c r="D55" s="23" t="s">
        <v>132</v>
      </c>
      <c r="E55" s="37"/>
    </row>
    <row r="56" spans="1:5" ht="30" customHeight="1">
      <c r="A56" s="36"/>
      <c r="B56" s="33"/>
      <c r="C56" s="22" t="s">
        <v>45</v>
      </c>
      <c r="D56" s="23" t="s">
        <v>133</v>
      </c>
      <c r="E56" s="37"/>
    </row>
    <row r="57" spans="1:5" ht="30" customHeight="1">
      <c r="A57" s="36"/>
      <c r="B57" s="33"/>
      <c r="C57" s="22" t="s">
        <v>46</v>
      </c>
      <c r="D57" s="23" t="s">
        <v>134</v>
      </c>
      <c r="E57" s="37"/>
    </row>
    <row r="58" spans="1:5" ht="30" customHeight="1">
      <c r="A58" s="36"/>
      <c r="B58" s="33" t="s">
        <v>67</v>
      </c>
      <c r="C58" s="22" t="s">
        <v>41</v>
      </c>
      <c r="D58" s="23" t="s">
        <v>94</v>
      </c>
      <c r="E58" s="34" t="s">
        <v>169</v>
      </c>
    </row>
    <row r="59" spans="1:5" ht="30" customHeight="1">
      <c r="A59" s="36"/>
      <c r="B59" s="33"/>
      <c r="C59" s="22" t="s">
        <v>42</v>
      </c>
      <c r="D59" s="23" t="s">
        <v>135</v>
      </c>
      <c r="E59" s="37"/>
    </row>
    <row r="60" spans="1:5" ht="30" customHeight="1">
      <c r="A60" s="36"/>
      <c r="B60" s="33"/>
      <c r="C60" s="22" t="s">
        <v>43</v>
      </c>
      <c r="D60" s="23" t="s">
        <v>136</v>
      </c>
      <c r="E60" s="37"/>
    </row>
    <row r="61" spans="1:5" ht="30" customHeight="1">
      <c r="A61" s="36"/>
      <c r="B61" s="33"/>
      <c r="C61" s="22" t="s">
        <v>44</v>
      </c>
      <c r="D61" s="23" t="s">
        <v>137</v>
      </c>
      <c r="E61" s="37"/>
    </row>
    <row r="62" spans="1:5" ht="30" customHeight="1">
      <c r="A62" s="36"/>
      <c r="B62" s="33"/>
      <c r="C62" s="22" t="s">
        <v>45</v>
      </c>
      <c r="D62" s="23" t="s">
        <v>138</v>
      </c>
      <c r="E62" s="37"/>
    </row>
    <row r="63" spans="1:5" ht="30" customHeight="1">
      <c r="A63" s="36"/>
      <c r="B63" s="33"/>
      <c r="C63" s="22" t="s">
        <v>46</v>
      </c>
      <c r="D63" s="23" t="s">
        <v>139</v>
      </c>
      <c r="E63" s="37"/>
    </row>
    <row r="64" spans="1:5" ht="30" customHeight="1">
      <c r="A64" s="36"/>
      <c r="B64" s="33" t="s">
        <v>68</v>
      </c>
      <c r="C64" s="22" t="s">
        <v>41</v>
      </c>
      <c r="D64" s="23" t="s">
        <v>94</v>
      </c>
      <c r="E64" s="34" t="s">
        <v>170</v>
      </c>
    </row>
    <row r="65" spans="1:5" ht="30" customHeight="1">
      <c r="A65" s="36"/>
      <c r="B65" s="33"/>
      <c r="C65" s="22" t="s">
        <v>42</v>
      </c>
      <c r="D65" s="23" t="s">
        <v>140</v>
      </c>
      <c r="E65" s="37"/>
    </row>
    <row r="66" spans="1:5" ht="30" customHeight="1">
      <c r="A66" s="36"/>
      <c r="B66" s="33"/>
      <c r="C66" s="22" t="s">
        <v>43</v>
      </c>
      <c r="D66" s="23" t="s">
        <v>141</v>
      </c>
      <c r="E66" s="37"/>
    </row>
    <row r="67" spans="1:5" ht="30" customHeight="1">
      <c r="A67" s="36"/>
      <c r="B67" s="33"/>
      <c r="C67" s="22" t="s">
        <v>44</v>
      </c>
      <c r="D67" s="23" t="s">
        <v>142</v>
      </c>
      <c r="E67" s="37"/>
    </row>
    <row r="68" spans="1:5" ht="30" customHeight="1">
      <c r="A68" s="36"/>
      <c r="B68" s="33"/>
      <c r="C68" s="22" t="s">
        <v>45</v>
      </c>
      <c r="D68" s="23" t="s">
        <v>143</v>
      </c>
      <c r="E68" s="37"/>
    </row>
    <row r="69" spans="1:5" ht="30" customHeight="1">
      <c r="A69" s="36"/>
      <c r="B69" s="33"/>
      <c r="C69" s="22" t="s">
        <v>46</v>
      </c>
      <c r="D69" s="23" t="s">
        <v>144</v>
      </c>
      <c r="E69" s="37"/>
    </row>
    <row r="70" spans="1:5" ht="30" customHeight="1">
      <c r="A70" s="36"/>
      <c r="B70" s="33" t="s">
        <v>69</v>
      </c>
      <c r="C70" s="22" t="s">
        <v>41</v>
      </c>
      <c r="D70" s="23" t="s">
        <v>94</v>
      </c>
      <c r="E70" s="34" t="s">
        <v>171</v>
      </c>
    </row>
    <row r="71" spans="1:5" ht="30" customHeight="1">
      <c r="A71" s="36"/>
      <c r="B71" s="33"/>
      <c r="C71" s="22" t="s">
        <v>42</v>
      </c>
      <c r="D71" s="23" t="s">
        <v>145</v>
      </c>
      <c r="E71" s="37"/>
    </row>
    <row r="72" spans="1:5" ht="30" customHeight="1">
      <c r="A72" s="36"/>
      <c r="B72" s="33"/>
      <c r="C72" s="22" t="s">
        <v>43</v>
      </c>
      <c r="D72" s="23" t="s">
        <v>146</v>
      </c>
      <c r="E72" s="37"/>
    </row>
    <row r="73" spans="1:5" ht="30" customHeight="1">
      <c r="A73" s="36"/>
      <c r="B73" s="33"/>
      <c r="C73" s="22" t="s">
        <v>44</v>
      </c>
      <c r="D73" s="23" t="s">
        <v>147</v>
      </c>
      <c r="E73" s="37"/>
    </row>
    <row r="74" spans="1:5" ht="30" customHeight="1">
      <c r="A74" s="36"/>
      <c r="B74" s="33"/>
      <c r="C74" s="22" t="s">
        <v>45</v>
      </c>
      <c r="D74" s="23" t="s">
        <v>148</v>
      </c>
      <c r="E74" s="37"/>
    </row>
    <row r="75" spans="1:5" ht="30" customHeight="1">
      <c r="A75" s="36"/>
      <c r="B75" s="33"/>
      <c r="C75" s="22" t="s">
        <v>46</v>
      </c>
      <c r="D75" s="23" t="s">
        <v>149</v>
      </c>
      <c r="E75" s="37"/>
    </row>
    <row r="76" spans="1:5" ht="30" customHeight="1">
      <c r="A76" s="36" t="s">
        <v>93</v>
      </c>
      <c r="B76" s="33" t="s">
        <v>70</v>
      </c>
      <c r="C76" s="22" t="s">
        <v>41</v>
      </c>
      <c r="D76" s="23" t="s">
        <v>94</v>
      </c>
      <c r="E76" s="34" t="s">
        <v>172</v>
      </c>
    </row>
    <row r="77" spans="1:5" ht="30" customHeight="1">
      <c r="A77" s="36"/>
      <c r="B77" s="33"/>
      <c r="C77" s="22" t="s">
        <v>42</v>
      </c>
      <c r="D77" s="23" t="s">
        <v>150</v>
      </c>
      <c r="E77" s="35"/>
    </row>
    <row r="78" spans="1:5" ht="30" customHeight="1">
      <c r="A78" s="36"/>
      <c r="B78" s="33"/>
      <c r="C78" s="22" t="s">
        <v>43</v>
      </c>
      <c r="D78" s="23" t="s">
        <v>151</v>
      </c>
      <c r="E78" s="35"/>
    </row>
    <row r="79" spans="1:5" ht="30" customHeight="1">
      <c r="A79" s="36"/>
      <c r="B79" s="33"/>
      <c r="C79" s="22" t="s">
        <v>44</v>
      </c>
      <c r="D79" s="23" t="s">
        <v>152</v>
      </c>
      <c r="E79" s="35"/>
    </row>
    <row r="80" spans="1:5" ht="30" customHeight="1">
      <c r="A80" s="36"/>
      <c r="B80" s="33"/>
      <c r="C80" s="22" t="s">
        <v>45</v>
      </c>
      <c r="D80" s="23" t="s">
        <v>153</v>
      </c>
      <c r="E80" s="35"/>
    </row>
    <row r="81" spans="1:5" ht="30" customHeight="1">
      <c r="A81" s="36"/>
      <c r="B81" s="33"/>
      <c r="C81" s="22" t="s">
        <v>46</v>
      </c>
      <c r="D81" s="23" t="s">
        <v>154</v>
      </c>
      <c r="E81" s="35"/>
    </row>
    <row r="82" spans="1:5" ht="30" customHeight="1">
      <c r="A82" s="36"/>
      <c r="B82" s="33" t="s">
        <v>71</v>
      </c>
      <c r="C82" s="22" t="s">
        <v>41</v>
      </c>
      <c r="D82" s="23" t="s">
        <v>94</v>
      </c>
      <c r="E82" s="34" t="s">
        <v>173</v>
      </c>
    </row>
    <row r="83" spans="1:5" ht="30" customHeight="1">
      <c r="A83" s="36"/>
      <c r="B83" s="33"/>
      <c r="C83" s="22" t="s">
        <v>42</v>
      </c>
      <c r="D83" s="23" t="s">
        <v>155</v>
      </c>
      <c r="E83" s="34"/>
    </row>
    <row r="84" spans="1:5" ht="30" customHeight="1">
      <c r="A84" s="36"/>
      <c r="B84" s="33"/>
      <c r="C84" s="22" t="s">
        <v>43</v>
      </c>
      <c r="D84" s="23" t="s">
        <v>156</v>
      </c>
      <c r="E84" s="34"/>
    </row>
    <row r="85" spans="1:5" ht="30" customHeight="1">
      <c r="A85" s="36"/>
      <c r="B85" s="33"/>
      <c r="C85" s="22" t="s">
        <v>44</v>
      </c>
      <c r="D85" s="23" t="s">
        <v>157</v>
      </c>
      <c r="E85" s="34"/>
    </row>
    <row r="86" spans="1:5" ht="30" customHeight="1">
      <c r="A86" s="36"/>
      <c r="B86" s="33"/>
      <c r="C86" s="22" t="s">
        <v>45</v>
      </c>
      <c r="D86" s="23" t="s">
        <v>158</v>
      </c>
      <c r="E86" s="34"/>
    </row>
    <row r="87" spans="1:5" ht="30" customHeight="1">
      <c r="A87" s="36"/>
      <c r="B87" s="33"/>
      <c r="C87" s="22" t="s">
        <v>46</v>
      </c>
      <c r="D87" s="23" t="s">
        <v>159</v>
      </c>
      <c r="E87" s="34"/>
    </row>
  </sheetData>
  <sheetProtection sheet="1" objects="1" scenarios="1"/>
  <mergeCells count="30">
    <mergeCell ref="E70:E75"/>
    <mergeCell ref="E40:E45"/>
    <mergeCell ref="E46:E51"/>
    <mergeCell ref="E52:E57"/>
    <mergeCell ref="E58:E63"/>
    <mergeCell ref="E64:E69"/>
    <mergeCell ref="B22:B27"/>
    <mergeCell ref="B28:B33"/>
    <mergeCell ref="B34:B39"/>
    <mergeCell ref="E10:E15"/>
    <mergeCell ref="E16:E21"/>
    <mergeCell ref="E22:E27"/>
    <mergeCell ref="E28:E33"/>
    <mergeCell ref="E34:E39"/>
    <mergeCell ref="B40:B45"/>
    <mergeCell ref="E82:E87"/>
    <mergeCell ref="E76:E81"/>
    <mergeCell ref="A10:A33"/>
    <mergeCell ref="A34:A45"/>
    <mergeCell ref="A46:A75"/>
    <mergeCell ref="A76:A87"/>
    <mergeCell ref="B82:B87"/>
    <mergeCell ref="B46:B51"/>
    <mergeCell ref="B52:B57"/>
    <mergeCell ref="B58:B63"/>
    <mergeCell ref="B64:B69"/>
    <mergeCell ref="B70:B75"/>
    <mergeCell ref="B76:B81"/>
    <mergeCell ref="B10:B15"/>
    <mergeCell ref="B16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zoomScale="82" workbookViewId="0">
      <pane xSplit="3" ySplit="2" topLeftCell="D3" activePane="bottomRight" state="frozen"/>
      <selection activeCell="E13" sqref="E13"/>
      <selection pane="topRight" activeCell="E13" sqref="E13"/>
      <selection pane="bottomLeft" activeCell="E13" sqref="E13"/>
      <selection pane="bottomRight" activeCell="B36" sqref="B36"/>
    </sheetView>
  </sheetViews>
  <sheetFormatPr baseColWidth="10" defaultColWidth="8.83203125" defaultRowHeight="16"/>
  <cols>
    <col min="1" max="1" width="9" style="17" customWidth="1"/>
    <col min="2" max="2" width="95" style="1" customWidth="1"/>
    <col min="3" max="3" width="11" style="2" customWidth="1"/>
    <col min="4" max="5" width="21.5" style="2" bestFit="1" customWidth="1"/>
    <col min="6" max="18" width="17" style="2" customWidth="1"/>
    <col min="19" max="40" width="17" style="1" customWidth="1"/>
    <col min="41" max="16384" width="8.83203125" style="1"/>
  </cols>
  <sheetData>
    <row r="1" spans="1:40">
      <c r="A1" s="31" t="s">
        <v>0</v>
      </c>
      <c r="B1" s="31" t="s">
        <v>49</v>
      </c>
      <c r="C1" s="32" t="s">
        <v>50</v>
      </c>
      <c r="D1" s="8" t="s">
        <v>54</v>
      </c>
      <c r="E1" s="8" t="s">
        <v>51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7">
      <c r="A2" s="31"/>
      <c r="B2" s="31"/>
      <c r="C2" s="32"/>
      <c r="D2" s="10" t="s">
        <v>53</v>
      </c>
      <c r="E2" s="10" t="s">
        <v>52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 spans="1:40" ht="17">
      <c r="A3" s="7" t="s">
        <v>1</v>
      </c>
      <c r="B3" s="4" t="s">
        <v>2</v>
      </c>
      <c r="C3" s="12">
        <v>0.4</v>
      </c>
      <c r="D3" s="14">
        <f t="shared" ref="D3:AN3" si="0">IF(COUNT(D4:D7)=0,"",SUMPRODUCT($C$4:$C$7,D4:D7)/0.35)</f>
        <v>22.857142857142858</v>
      </c>
      <c r="E3" s="14">
        <f t="shared" si="0"/>
        <v>11.428571428571429</v>
      </c>
      <c r="F3" s="14" t="str">
        <f t="shared" si="0"/>
        <v/>
      </c>
      <c r="G3" s="14" t="str">
        <f t="shared" si="0"/>
        <v/>
      </c>
      <c r="H3" s="14" t="str">
        <f t="shared" si="0"/>
        <v/>
      </c>
      <c r="I3" s="14" t="str">
        <f t="shared" si="0"/>
        <v/>
      </c>
      <c r="J3" s="14" t="str">
        <f t="shared" si="0"/>
        <v/>
      </c>
      <c r="K3" s="14" t="str">
        <f t="shared" si="0"/>
        <v/>
      </c>
      <c r="L3" s="14" t="str">
        <f t="shared" si="0"/>
        <v/>
      </c>
      <c r="M3" s="14" t="str">
        <f t="shared" si="0"/>
        <v/>
      </c>
      <c r="N3" s="14" t="str">
        <f t="shared" si="0"/>
        <v/>
      </c>
      <c r="O3" s="14" t="str">
        <f t="shared" si="0"/>
        <v/>
      </c>
      <c r="P3" s="14" t="str">
        <f t="shared" si="0"/>
        <v/>
      </c>
      <c r="Q3" s="14" t="str">
        <f t="shared" si="0"/>
        <v/>
      </c>
      <c r="R3" s="14" t="str">
        <f t="shared" si="0"/>
        <v/>
      </c>
      <c r="S3" s="14" t="str">
        <f t="shared" si="0"/>
        <v/>
      </c>
      <c r="T3" s="14" t="str">
        <f t="shared" si="0"/>
        <v/>
      </c>
      <c r="U3" s="14" t="str">
        <f t="shared" si="0"/>
        <v/>
      </c>
      <c r="V3" s="14" t="str">
        <f t="shared" si="0"/>
        <v/>
      </c>
      <c r="W3" s="14" t="str">
        <f t="shared" si="0"/>
        <v/>
      </c>
      <c r="X3" s="14" t="str">
        <f t="shared" si="0"/>
        <v/>
      </c>
      <c r="Y3" s="14" t="str">
        <f t="shared" si="0"/>
        <v/>
      </c>
      <c r="Z3" s="14" t="str">
        <f t="shared" si="0"/>
        <v/>
      </c>
      <c r="AA3" s="14" t="str">
        <f t="shared" si="0"/>
        <v/>
      </c>
      <c r="AB3" s="14" t="str">
        <f t="shared" si="0"/>
        <v/>
      </c>
      <c r="AC3" s="14" t="str">
        <f t="shared" si="0"/>
        <v/>
      </c>
      <c r="AD3" s="14" t="str">
        <f t="shared" si="0"/>
        <v/>
      </c>
      <c r="AE3" s="14" t="str">
        <f t="shared" si="0"/>
        <v/>
      </c>
      <c r="AF3" s="14" t="str">
        <f t="shared" si="0"/>
        <v/>
      </c>
      <c r="AG3" s="14" t="str">
        <f t="shared" si="0"/>
        <v/>
      </c>
      <c r="AH3" s="14" t="str">
        <f t="shared" si="0"/>
        <v/>
      </c>
      <c r="AI3" s="14" t="str">
        <f t="shared" si="0"/>
        <v/>
      </c>
      <c r="AJ3" s="14" t="str">
        <f t="shared" si="0"/>
        <v/>
      </c>
      <c r="AK3" s="14" t="str">
        <f t="shared" si="0"/>
        <v/>
      </c>
      <c r="AL3" s="14" t="str">
        <f t="shared" si="0"/>
        <v/>
      </c>
      <c r="AM3" s="14" t="str">
        <f t="shared" si="0"/>
        <v/>
      </c>
      <c r="AN3" s="14" t="str">
        <f t="shared" si="0"/>
        <v/>
      </c>
    </row>
    <row r="4" spans="1:40" ht="17">
      <c r="A4" s="16" t="s">
        <v>3</v>
      </c>
      <c r="B4" s="6" t="s">
        <v>4</v>
      </c>
      <c r="C4" s="13">
        <v>7.0000000000000007E-2</v>
      </c>
      <c r="D4" s="8">
        <v>20</v>
      </c>
      <c r="E4" s="8">
        <v>10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7">
      <c r="A5" s="16" t="s">
        <v>5</v>
      </c>
      <c r="B5" s="6" t="s">
        <v>6</v>
      </c>
      <c r="C5" s="13">
        <v>0.11</v>
      </c>
      <c r="D5" s="8">
        <v>20</v>
      </c>
      <c r="E5" s="8">
        <v>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7">
      <c r="A6" s="16" t="s">
        <v>7</v>
      </c>
      <c r="B6" s="6" t="s">
        <v>8</v>
      </c>
      <c r="C6" s="13">
        <v>0.11</v>
      </c>
      <c r="D6" s="8">
        <v>20</v>
      </c>
      <c r="E6" s="8">
        <v>10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7">
      <c r="A7" s="16" t="s">
        <v>9</v>
      </c>
      <c r="B7" s="6" t="s">
        <v>10</v>
      </c>
      <c r="C7" s="13">
        <v>0.11</v>
      </c>
      <c r="D7" s="8">
        <v>20</v>
      </c>
      <c r="E7" s="8">
        <v>10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7">
      <c r="A8" s="7" t="s">
        <v>11</v>
      </c>
      <c r="B8" s="4" t="s">
        <v>12</v>
      </c>
      <c r="C8" s="12">
        <v>0.4</v>
      </c>
      <c r="D8" s="14">
        <f t="shared" ref="D8:AN8" si="1">IF(COUNT(D9:D10)=0,"",SUMPRODUCT($C$9:$C$10,D9:D10)/0.35)</f>
        <v>22.857142857142858</v>
      </c>
      <c r="E8" s="14">
        <f t="shared" si="1"/>
        <v>11.428571428571429</v>
      </c>
      <c r="F8" s="14" t="str">
        <f t="shared" si="1"/>
        <v/>
      </c>
      <c r="G8" s="14" t="str">
        <f t="shared" si="1"/>
        <v/>
      </c>
      <c r="H8" s="14" t="str">
        <f t="shared" si="1"/>
        <v/>
      </c>
      <c r="I8" s="14" t="str">
        <f t="shared" si="1"/>
        <v/>
      </c>
      <c r="J8" s="14" t="str">
        <f t="shared" si="1"/>
        <v/>
      </c>
      <c r="K8" s="14" t="str">
        <f t="shared" si="1"/>
        <v/>
      </c>
      <c r="L8" s="14" t="str">
        <f t="shared" si="1"/>
        <v/>
      </c>
      <c r="M8" s="14" t="str">
        <f t="shared" si="1"/>
        <v/>
      </c>
      <c r="N8" s="14" t="str">
        <f t="shared" si="1"/>
        <v/>
      </c>
      <c r="O8" s="14" t="str">
        <f t="shared" si="1"/>
        <v/>
      </c>
      <c r="P8" s="14" t="str">
        <f t="shared" si="1"/>
        <v/>
      </c>
      <c r="Q8" s="14" t="str">
        <f t="shared" si="1"/>
        <v/>
      </c>
      <c r="R8" s="14" t="str">
        <f t="shared" si="1"/>
        <v/>
      </c>
      <c r="S8" s="14" t="str">
        <f t="shared" si="1"/>
        <v/>
      </c>
      <c r="T8" s="14" t="str">
        <f t="shared" si="1"/>
        <v/>
      </c>
      <c r="U8" s="14" t="str">
        <f t="shared" si="1"/>
        <v/>
      </c>
      <c r="V8" s="14" t="str">
        <f t="shared" si="1"/>
        <v/>
      </c>
      <c r="W8" s="14" t="str">
        <f t="shared" si="1"/>
        <v/>
      </c>
      <c r="X8" s="14" t="str">
        <f t="shared" si="1"/>
        <v/>
      </c>
      <c r="Y8" s="14" t="str">
        <f t="shared" si="1"/>
        <v/>
      </c>
      <c r="Z8" s="14" t="str">
        <f t="shared" si="1"/>
        <v/>
      </c>
      <c r="AA8" s="14" t="str">
        <f t="shared" si="1"/>
        <v/>
      </c>
      <c r="AB8" s="14" t="str">
        <f t="shared" si="1"/>
        <v/>
      </c>
      <c r="AC8" s="14" t="str">
        <f t="shared" si="1"/>
        <v/>
      </c>
      <c r="AD8" s="14" t="str">
        <f t="shared" si="1"/>
        <v/>
      </c>
      <c r="AE8" s="14" t="str">
        <f t="shared" si="1"/>
        <v/>
      </c>
      <c r="AF8" s="14" t="str">
        <f t="shared" si="1"/>
        <v/>
      </c>
      <c r="AG8" s="14" t="str">
        <f t="shared" si="1"/>
        <v/>
      </c>
      <c r="AH8" s="14" t="str">
        <f t="shared" si="1"/>
        <v/>
      </c>
      <c r="AI8" s="14" t="str">
        <f t="shared" si="1"/>
        <v/>
      </c>
      <c r="AJ8" s="14" t="str">
        <f t="shared" si="1"/>
        <v/>
      </c>
      <c r="AK8" s="14" t="str">
        <f t="shared" si="1"/>
        <v/>
      </c>
      <c r="AL8" s="14" t="str">
        <f t="shared" si="1"/>
        <v/>
      </c>
      <c r="AM8" s="14" t="str">
        <f t="shared" si="1"/>
        <v/>
      </c>
      <c r="AN8" s="14" t="str">
        <f t="shared" si="1"/>
        <v/>
      </c>
    </row>
    <row r="9" spans="1:40" ht="17">
      <c r="A9" s="16" t="s">
        <v>13</v>
      </c>
      <c r="B9" s="6" t="s">
        <v>14</v>
      </c>
      <c r="C9" s="13">
        <v>0.2</v>
      </c>
      <c r="D9" s="8">
        <v>20</v>
      </c>
      <c r="E9" s="8">
        <v>10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 ht="17">
      <c r="A10" s="16" t="s">
        <v>15</v>
      </c>
      <c r="B10" s="6" t="s">
        <v>16</v>
      </c>
      <c r="C10" s="13">
        <v>0.2</v>
      </c>
      <c r="D10" s="8">
        <v>20</v>
      </c>
      <c r="E10" s="8">
        <v>10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17">
      <c r="A11" s="7" t="s">
        <v>17</v>
      </c>
      <c r="B11" s="4" t="s">
        <v>18</v>
      </c>
      <c r="C11" s="12">
        <v>0.25</v>
      </c>
      <c r="D11" s="14">
        <f t="shared" ref="D11:AN11" si="2">IF(COUNT(D12:D16)=0,"",SUMPRODUCT($C$12:$C$16,D12:D16)/0.2)</f>
        <v>25</v>
      </c>
      <c r="E11" s="14">
        <f t="shared" si="2"/>
        <v>12.5</v>
      </c>
      <c r="F11" s="14" t="str">
        <f t="shared" si="2"/>
        <v/>
      </c>
      <c r="G11" s="14" t="str">
        <f t="shared" si="2"/>
        <v/>
      </c>
      <c r="H11" s="14" t="str">
        <f t="shared" si="2"/>
        <v/>
      </c>
      <c r="I11" s="14" t="str">
        <f t="shared" si="2"/>
        <v/>
      </c>
      <c r="J11" s="14" t="str">
        <f t="shared" si="2"/>
        <v/>
      </c>
      <c r="K11" s="14" t="str">
        <f t="shared" si="2"/>
        <v/>
      </c>
      <c r="L11" s="14" t="str">
        <f t="shared" si="2"/>
        <v/>
      </c>
      <c r="M11" s="14" t="str">
        <f t="shared" si="2"/>
        <v/>
      </c>
      <c r="N11" s="14" t="str">
        <f t="shared" si="2"/>
        <v/>
      </c>
      <c r="O11" s="14" t="str">
        <f t="shared" si="2"/>
        <v/>
      </c>
      <c r="P11" s="14" t="str">
        <f t="shared" si="2"/>
        <v/>
      </c>
      <c r="Q11" s="14" t="str">
        <f t="shared" si="2"/>
        <v/>
      </c>
      <c r="R11" s="14" t="str">
        <f t="shared" si="2"/>
        <v/>
      </c>
      <c r="S11" s="14" t="str">
        <f t="shared" si="2"/>
        <v/>
      </c>
      <c r="T11" s="14" t="str">
        <f t="shared" si="2"/>
        <v/>
      </c>
      <c r="U11" s="14" t="str">
        <f t="shared" si="2"/>
        <v/>
      </c>
      <c r="V11" s="14" t="str">
        <f t="shared" si="2"/>
        <v/>
      </c>
      <c r="W11" s="14" t="str">
        <f t="shared" si="2"/>
        <v/>
      </c>
      <c r="X11" s="14" t="str">
        <f t="shared" si="2"/>
        <v/>
      </c>
      <c r="Y11" s="14" t="str">
        <f t="shared" si="2"/>
        <v/>
      </c>
      <c r="Z11" s="14" t="str">
        <f t="shared" si="2"/>
        <v/>
      </c>
      <c r="AA11" s="14" t="str">
        <f t="shared" si="2"/>
        <v/>
      </c>
      <c r="AB11" s="14" t="str">
        <f t="shared" si="2"/>
        <v/>
      </c>
      <c r="AC11" s="14" t="str">
        <f t="shared" si="2"/>
        <v/>
      </c>
      <c r="AD11" s="14" t="str">
        <f t="shared" si="2"/>
        <v/>
      </c>
      <c r="AE11" s="14" t="str">
        <f t="shared" si="2"/>
        <v/>
      </c>
      <c r="AF11" s="14" t="str">
        <f t="shared" si="2"/>
        <v/>
      </c>
      <c r="AG11" s="14" t="str">
        <f t="shared" si="2"/>
        <v/>
      </c>
      <c r="AH11" s="14" t="str">
        <f t="shared" si="2"/>
        <v/>
      </c>
      <c r="AI11" s="14" t="str">
        <f t="shared" si="2"/>
        <v/>
      </c>
      <c r="AJ11" s="14" t="str">
        <f t="shared" si="2"/>
        <v/>
      </c>
      <c r="AK11" s="14" t="str">
        <f t="shared" si="2"/>
        <v/>
      </c>
      <c r="AL11" s="14" t="str">
        <f t="shared" si="2"/>
        <v/>
      </c>
      <c r="AM11" s="14" t="str">
        <f t="shared" si="2"/>
        <v/>
      </c>
      <c r="AN11" s="14" t="str">
        <f t="shared" si="2"/>
        <v/>
      </c>
    </row>
    <row r="12" spans="1:40" ht="17">
      <c r="A12" s="16" t="s">
        <v>19</v>
      </c>
      <c r="B12" s="6" t="s">
        <v>20</v>
      </c>
      <c r="C12" s="13">
        <v>0.05</v>
      </c>
      <c r="D12" s="8">
        <v>20</v>
      </c>
      <c r="E12" s="8">
        <v>10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ht="17">
      <c r="A13" s="16" t="s">
        <v>21</v>
      </c>
      <c r="B13" s="6" t="s">
        <v>22</v>
      </c>
      <c r="C13" s="13">
        <v>0.05</v>
      </c>
      <c r="D13" s="8">
        <v>20</v>
      </c>
      <c r="E13" s="8">
        <v>10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ht="17">
      <c r="A14" s="16" t="s">
        <v>23</v>
      </c>
      <c r="B14" s="6" t="s">
        <v>24</v>
      </c>
      <c r="C14" s="13">
        <v>0.05</v>
      </c>
      <c r="D14" s="8">
        <v>20</v>
      </c>
      <c r="E14" s="8">
        <v>10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ht="17">
      <c r="A15" s="16" t="s">
        <v>25</v>
      </c>
      <c r="B15" s="6" t="s">
        <v>26</v>
      </c>
      <c r="C15" s="13">
        <v>0.05</v>
      </c>
      <c r="D15" s="8">
        <v>20</v>
      </c>
      <c r="E15" s="8">
        <v>10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17">
      <c r="A16" s="16" t="s">
        <v>27</v>
      </c>
      <c r="B16" s="6" t="s">
        <v>28</v>
      </c>
      <c r="C16" s="13">
        <v>0.05</v>
      </c>
      <c r="D16" s="8">
        <v>20</v>
      </c>
      <c r="E16" s="8">
        <v>10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17">
      <c r="A17" s="7" t="s">
        <v>29</v>
      </c>
      <c r="B17" s="4" t="s">
        <v>30</v>
      </c>
      <c r="C17" s="12">
        <v>0.15</v>
      </c>
      <c r="D17" s="14">
        <f t="shared" ref="D17:AN17" si="3">IF(COUNT(D18:D19)=0,"",SUMPRODUCT($C$18:$C$19,D18:D19)/0.1)</f>
        <v>30</v>
      </c>
      <c r="E17" s="14">
        <f t="shared" si="3"/>
        <v>15</v>
      </c>
      <c r="F17" s="14" t="str">
        <f t="shared" si="3"/>
        <v/>
      </c>
      <c r="G17" s="14" t="str">
        <f t="shared" si="3"/>
        <v/>
      </c>
      <c r="H17" s="14" t="str">
        <f t="shared" si="3"/>
        <v/>
      </c>
      <c r="I17" s="14" t="str">
        <f t="shared" si="3"/>
        <v/>
      </c>
      <c r="J17" s="14" t="str">
        <f t="shared" si="3"/>
        <v/>
      </c>
      <c r="K17" s="14" t="str">
        <f t="shared" si="3"/>
        <v/>
      </c>
      <c r="L17" s="14" t="str">
        <f t="shared" si="3"/>
        <v/>
      </c>
      <c r="M17" s="14" t="str">
        <f t="shared" si="3"/>
        <v/>
      </c>
      <c r="N17" s="14" t="str">
        <f t="shared" si="3"/>
        <v/>
      </c>
      <c r="O17" s="14" t="str">
        <f t="shared" si="3"/>
        <v/>
      </c>
      <c r="P17" s="14" t="str">
        <f t="shared" si="3"/>
        <v/>
      </c>
      <c r="Q17" s="14" t="str">
        <f t="shared" si="3"/>
        <v/>
      </c>
      <c r="R17" s="14" t="str">
        <f t="shared" si="3"/>
        <v/>
      </c>
      <c r="S17" s="14" t="str">
        <f t="shared" si="3"/>
        <v/>
      </c>
      <c r="T17" s="14" t="str">
        <f t="shared" si="3"/>
        <v/>
      </c>
      <c r="U17" s="14" t="str">
        <f t="shared" si="3"/>
        <v/>
      </c>
      <c r="V17" s="14" t="str">
        <f t="shared" si="3"/>
        <v/>
      </c>
      <c r="W17" s="14" t="str">
        <f t="shared" si="3"/>
        <v/>
      </c>
      <c r="X17" s="14" t="str">
        <f t="shared" si="3"/>
        <v/>
      </c>
      <c r="Y17" s="14" t="str">
        <f t="shared" si="3"/>
        <v/>
      </c>
      <c r="Z17" s="14" t="str">
        <f t="shared" si="3"/>
        <v/>
      </c>
      <c r="AA17" s="14" t="str">
        <f t="shared" si="3"/>
        <v/>
      </c>
      <c r="AB17" s="14" t="str">
        <f t="shared" si="3"/>
        <v/>
      </c>
      <c r="AC17" s="14" t="str">
        <f t="shared" si="3"/>
        <v/>
      </c>
      <c r="AD17" s="14" t="str">
        <f t="shared" si="3"/>
        <v/>
      </c>
      <c r="AE17" s="14" t="str">
        <f t="shared" si="3"/>
        <v/>
      </c>
      <c r="AF17" s="14" t="str">
        <f t="shared" si="3"/>
        <v/>
      </c>
      <c r="AG17" s="14" t="str">
        <f t="shared" si="3"/>
        <v/>
      </c>
      <c r="AH17" s="14" t="str">
        <f t="shared" si="3"/>
        <v/>
      </c>
      <c r="AI17" s="14" t="str">
        <f t="shared" si="3"/>
        <v/>
      </c>
      <c r="AJ17" s="14" t="str">
        <f t="shared" si="3"/>
        <v/>
      </c>
      <c r="AK17" s="14" t="str">
        <f t="shared" si="3"/>
        <v/>
      </c>
      <c r="AL17" s="14" t="str">
        <f t="shared" si="3"/>
        <v/>
      </c>
      <c r="AM17" s="14" t="str">
        <f t="shared" si="3"/>
        <v/>
      </c>
      <c r="AN17" s="14" t="str">
        <f t="shared" si="3"/>
        <v/>
      </c>
    </row>
    <row r="18" spans="1:40" ht="17">
      <c r="A18" s="16" t="s">
        <v>31</v>
      </c>
      <c r="B18" s="6" t="s">
        <v>32</v>
      </c>
      <c r="C18" s="13">
        <v>7.4999999999999997E-2</v>
      </c>
      <c r="D18" s="8">
        <v>20</v>
      </c>
      <c r="E18" s="8">
        <v>10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17">
      <c r="A19" s="16" t="s">
        <v>33</v>
      </c>
      <c r="B19" s="6" t="s">
        <v>34</v>
      </c>
      <c r="C19" s="13">
        <v>7.4999999999999997E-2</v>
      </c>
      <c r="D19" s="8">
        <v>20</v>
      </c>
      <c r="E19" s="8">
        <v>10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17">
      <c r="A20" s="29" t="s">
        <v>35</v>
      </c>
      <c r="B20" s="30"/>
      <c r="C20" s="12">
        <f>C3+C8+C11+C17</f>
        <v>1.2</v>
      </c>
      <c r="D20" s="12">
        <f t="shared" ref="D20:AN20" si="4">IF(COUNT(D4:D7,D9:D10,D12:D16,D18:D19)=0,"",D21/20)</f>
        <v>1</v>
      </c>
      <c r="E20" s="12">
        <f t="shared" si="4"/>
        <v>0.6</v>
      </c>
      <c r="F20" s="12" t="str">
        <f t="shared" si="4"/>
        <v/>
      </c>
      <c r="G20" s="12" t="str">
        <f t="shared" si="4"/>
        <v/>
      </c>
      <c r="H20" s="12" t="str">
        <f t="shared" si="4"/>
        <v/>
      </c>
      <c r="I20" s="12" t="str">
        <f t="shared" si="4"/>
        <v/>
      </c>
      <c r="J20" s="12" t="str">
        <f t="shared" si="4"/>
        <v/>
      </c>
      <c r="K20" s="12" t="str">
        <f t="shared" si="4"/>
        <v/>
      </c>
      <c r="L20" s="12" t="str">
        <f t="shared" si="4"/>
        <v/>
      </c>
      <c r="M20" s="12" t="str">
        <f t="shared" si="4"/>
        <v/>
      </c>
      <c r="N20" s="12" t="str">
        <f t="shared" si="4"/>
        <v/>
      </c>
      <c r="O20" s="12" t="str">
        <f t="shared" si="4"/>
        <v/>
      </c>
      <c r="P20" s="12" t="str">
        <f t="shared" si="4"/>
        <v/>
      </c>
      <c r="Q20" s="12" t="str">
        <f t="shared" si="4"/>
        <v/>
      </c>
      <c r="R20" s="12" t="str">
        <f t="shared" si="4"/>
        <v/>
      </c>
      <c r="S20" s="12" t="str">
        <f t="shared" si="4"/>
        <v/>
      </c>
      <c r="T20" s="12" t="str">
        <f t="shared" si="4"/>
        <v/>
      </c>
      <c r="U20" s="12" t="str">
        <f t="shared" si="4"/>
        <v/>
      </c>
      <c r="V20" s="12" t="str">
        <f t="shared" si="4"/>
        <v/>
      </c>
      <c r="W20" s="12" t="str">
        <f t="shared" si="4"/>
        <v/>
      </c>
      <c r="X20" s="12" t="str">
        <f t="shared" si="4"/>
        <v/>
      </c>
      <c r="Y20" s="12" t="str">
        <f t="shared" si="4"/>
        <v/>
      </c>
      <c r="Z20" s="12" t="str">
        <f t="shared" si="4"/>
        <v/>
      </c>
      <c r="AA20" s="12" t="str">
        <f t="shared" si="4"/>
        <v/>
      </c>
      <c r="AB20" s="12" t="str">
        <f t="shared" si="4"/>
        <v/>
      </c>
      <c r="AC20" s="12" t="str">
        <f t="shared" si="4"/>
        <v/>
      </c>
      <c r="AD20" s="12" t="str">
        <f t="shared" si="4"/>
        <v/>
      </c>
      <c r="AE20" s="12" t="str">
        <f t="shared" si="4"/>
        <v/>
      </c>
      <c r="AF20" s="12" t="str">
        <f t="shared" si="4"/>
        <v/>
      </c>
      <c r="AG20" s="12" t="str">
        <f t="shared" si="4"/>
        <v/>
      </c>
      <c r="AH20" s="12" t="str">
        <f t="shared" si="4"/>
        <v/>
      </c>
      <c r="AI20" s="12" t="str">
        <f t="shared" si="4"/>
        <v/>
      </c>
      <c r="AJ20" s="12" t="str">
        <f t="shared" si="4"/>
        <v/>
      </c>
      <c r="AK20" s="12" t="str">
        <f t="shared" si="4"/>
        <v/>
      </c>
      <c r="AL20" s="12" t="str">
        <f t="shared" si="4"/>
        <v/>
      </c>
      <c r="AM20" s="12" t="str">
        <f t="shared" si="4"/>
        <v/>
      </c>
      <c r="AN20" s="12" t="str">
        <f t="shared" si="4"/>
        <v/>
      </c>
    </row>
    <row r="21" spans="1:40" ht="17">
      <c r="A21" s="29" t="s">
        <v>36</v>
      </c>
      <c r="B21" s="30"/>
      <c r="C21" s="3" t="s">
        <v>58</v>
      </c>
      <c r="D21" s="14">
        <f>IF(COUNT(D4:D7,D9:D10,D12:D16,D18:D19)=0,"",ROUND(MIN(20,SUMPRODUCT($C$4:$C$7,D4:D7)+SUMPRODUCT($C$9:$C$10,D9:D10)+SUMPRODUCT($C$12:$C$16,D12:D16)+SUMPRODUCT($C$18:$C$19,D18:D19)),2))</f>
        <v>20</v>
      </c>
      <c r="E21" s="14">
        <f>IF(COUNT(E4:E7,E9:E10,E12:E16,E18:E19)=0,"",ROUND(MIN(20,SUMPRODUCT($C$4:$C$7,E4:E7)+SUMPRODUCT($C$9:$C$10,E9:E10)+SUMPRODUCT($C$12:$C$16,E12:E16)+SUMPRODUCT($C$18:$C$19,E18:E19)),2))</f>
        <v>12</v>
      </c>
      <c r="F21" s="14" t="str">
        <f t="shared" ref="F21:AN21" si="5">IF(COUNT(F4:F7,F9:F10,F12:F16,F18:F19)=0,"",ROUND(MIN(20,SUMPRODUCT($C$4:$C$7,F4:F7)+SUMPRODUCT($C$9:$C$10,F9:F10)+SUMPRODUCT($C$12:$C$16,F12:F16)+SUMPRODUCT($C$18:$C$19,F18:F19)),2))</f>
        <v/>
      </c>
      <c r="G21" s="14" t="str">
        <f t="shared" si="5"/>
        <v/>
      </c>
      <c r="H21" s="14" t="str">
        <f t="shared" si="5"/>
        <v/>
      </c>
      <c r="I21" s="14" t="str">
        <f t="shared" si="5"/>
        <v/>
      </c>
      <c r="J21" s="14" t="str">
        <f t="shared" si="5"/>
        <v/>
      </c>
      <c r="K21" s="14" t="str">
        <f t="shared" si="5"/>
        <v/>
      </c>
      <c r="L21" s="14" t="str">
        <f t="shared" si="5"/>
        <v/>
      </c>
      <c r="M21" s="14" t="str">
        <f t="shared" si="5"/>
        <v/>
      </c>
      <c r="N21" s="14" t="str">
        <f t="shared" si="5"/>
        <v/>
      </c>
      <c r="O21" s="14" t="str">
        <f t="shared" si="5"/>
        <v/>
      </c>
      <c r="P21" s="14" t="str">
        <f t="shared" si="5"/>
        <v/>
      </c>
      <c r="Q21" s="14" t="str">
        <f t="shared" si="5"/>
        <v/>
      </c>
      <c r="R21" s="14" t="str">
        <f t="shared" si="5"/>
        <v/>
      </c>
      <c r="S21" s="14" t="str">
        <f t="shared" si="5"/>
        <v/>
      </c>
      <c r="T21" s="14" t="str">
        <f t="shared" si="5"/>
        <v/>
      </c>
      <c r="U21" s="14" t="str">
        <f t="shared" si="5"/>
        <v/>
      </c>
      <c r="V21" s="14" t="str">
        <f t="shared" si="5"/>
        <v/>
      </c>
      <c r="W21" s="14" t="str">
        <f t="shared" si="5"/>
        <v/>
      </c>
      <c r="X21" s="14" t="str">
        <f t="shared" si="5"/>
        <v/>
      </c>
      <c r="Y21" s="14" t="str">
        <f t="shared" si="5"/>
        <v/>
      </c>
      <c r="Z21" s="14" t="str">
        <f t="shared" si="5"/>
        <v/>
      </c>
      <c r="AA21" s="14" t="str">
        <f t="shared" si="5"/>
        <v/>
      </c>
      <c r="AB21" s="14" t="str">
        <f t="shared" si="5"/>
        <v/>
      </c>
      <c r="AC21" s="14" t="str">
        <f t="shared" si="5"/>
        <v/>
      </c>
      <c r="AD21" s="14" t="str">
        <f t="shared" si="5"/>
        <v/>
      </c>
      <c r="AE21" s="14" t="str">
        <f t="shared" si="5"/>
        <v/>
      </c>
      <c r="AF21" s="14" t="str">
        <f t="shared" si="5"/>
        <v/>
      </c>
      <c r="AG21" s="14" t="str">
        <f t="shared" si="5"/>
        <v/>
      </c>
      <c r="AH21" s="14" t="str">
        <f t="shared" si="5"/>
        <v/>
      </c>
      <c r="AI21" s="14" t="str">
        <f t="shared" si="5"/>
        <v/>
      </c>
      <c r="AJ21" s="14" t="str">
        <f t="shared" si="5"/>
        <v/>
      </c>
      <c r="AK21" s="14" t="str">
        <f t="shared" si="5"/>
        <v/>
      </c>
      <c r="AL21" s="14" t="str">
        <f t="shared" si="5"/>
        <v/>
      </c>
      <c r="AM21" s="14" t="str">
        <f t="shared" si="5"/>
        <v/>
      </c>
      <c r="AN21" s="14" t="str">
        <f t="shared" si="5"/>
        <v/>
      </c>
    </row>
    <row r="22" spans="1:40" ht="17">
      <c r="A22" s="29" t="s">
        <v>37</v>
      </c>
      <c r="B22" s="30"/>
      <c r="C22" s="15" t="s">
        <v>58</v>
      </c>
      <c r="D22" s="5" t="str">
        <f>IF(COUNTA(D1:D2,D4:D7,D9:D10,D12:D16,D18:D19)=0,"",IF(COUNTA(D1:D2,D4:D7,D9:D10,D12:D16,D18:D19)=15,"Concluído","Por concluir"))</f>
        <v>Concluído</v>
      </c>
      <c r="E22" s="5" t="str">
        <f t="shared" ref="E22:AN22" si="6">IF(COUNTA(E1:E2,E4:E7,E9:E10,E12:E16,E18:E19)=0,"",IF(COUNTA(E1:E2,E4:E7,E9:E10,E12:E16,E18:E19)=15,"Concluído","Por concluir"))</f>
        <v>Concluído</v>
      </c>
      <c r="F22" s="5" t="str">
        <f t="shared" si="6"/>
        <v/>
      </c>
      <c r="G22" s="5" t="str">
        <f t="shared" si="6"/>
        <v/>
      </c>
      <c r="H22" s="5" t="str">
        <f t="shared" si="6"/>
        <v/>
      </c>
      <c r="I22" s="5" t="str">
        <f t="shared" si="6"/>
        <v/>
      </c>
      <c r="J22" s="5" t="str">
        <f t="shared" si="6"/>
        <v/>
      </c>
      <c r="K22" s="5" t="str">
        <f t="shared" si="6"/>
        <v/>
      </c>
      <c r="L22" s="5" t="str">
        <f t="shared" si="6"/>
        <v/>
      </c>
      <c r="M22" s="5" t="str">
        <f t="shared" si="6"/>
        <v/>
      </c>
      <c r="N22" s="5" t="str">
        <f t="shared" si="6"/>
        <v/>
      </c>
      <c r="O22" s="5" t="str">
        <f t="shared" si="6"/>
        <v/>
      </c>
      <c r="P22" s="5" t="str">
        <f t="shared" si="6"/>
        <v/>
      </c>
      <c r="Q22" s="5" t="str">
        <f t="shared" si="6"/>
        <v/>
      </c>
      <c r="R22" s="5" t="str">
        <f t="shared" si="6"/>
        <v/>
      </c>
      <c r="S22" s="5" t="str">
        <f t="shared" si="6"/>
        <v/>
      </c>
      <c r="T22" s="5" t="str">
        <f t="shared" si="6"/>
        <v/>
      </c>
      <c r="U22" s="5" t="str">
        <f t="shared" si="6"/>
        <v/>
      </c>
      <c r="V22" s="5" t="str">
        <f t="shared" si="6"/>
        <v/>
      </c>
      <c r="W22" s="5" t="str">
        <f t="shared" si="6"/>
        <v/>
      </c>
      <c r="X22" s="5" t="str">
        <f t="shared" si="6"/>
        <v/>
      </c>
      <c r="Y22" s="5" t="str">
        <f t="shared" si="6"/>
        <v/>
      </c>
      <c r="Z22" s="5" t="str">
        <f t="shared" si="6"/>
        <v/>
      </c>
      <c r="AA22" s="5" t="str">
        <f t="shared" si="6"/>
        <v/>
      </c>
      <c r="AB22" s="5" t="str">
        <f t="shared" si="6"/>
        <v/>
      </c>
      <c r="AC22" s="5" t="str">
        <f t="shared" si="6"/>
        <v/>
      </c>
      <c r="AD22" s="5" t="str">
        <f t="shared" si="6"/>
        <v/>
      </c>
      <c r="AE22" s="5" t="str">
        <f t="shared" si="6"/>
        <v/>
      </c>
      <c r="AF22" s="5" t="str">
        <f t="shared" si="6"/>
        <v/>
      </c>
      <c r="AG22" s="5" t="str">
        <f t="shared" si="6"/>
        <v/>
      </c>
      <c r="AH22" s="5" t="str">
        <f t="shared" si="6"/>
        <v/>
      </c>
      <c r="AI22" s="5" t="str">
        <f t="shared" si="6"/>
        <v/>
      </c>
      <c r="AJ22" s="5" t="str">
        <f t="shared" si="6"/>
        <v/>
      </c>
      <c r="AK22" s="5" t="str">
        <f t="shared" si="6"/>
        <v/>
      </c>
      <c r="AL22" s="5" t="str">
        <f t="shared" si="6"/>
        <v/>
      </c>
      <c r="AM22" s="5" t="str">
        <f t="shared" si="6"/>
        <v/>
      </c>
      <c r="AN22" s="5" t="str">
        <f t="shared" si="6"/>
        <v/>
      </c>
    </row>
  </sheetData>
  <sheetProtection sheet="1" objects="1" scenarios="1"/>
  <mergeCells count="6">
    <mergeCell ref="A22:B22"/>
    <mergeCell ref="B1:B2"/>
    <mergeCell ref="A1:A2"/>
    <mergeCell ref="C1:C2"/>
    <mergeCell ref="A20:B20"/>
    <mergeCell ref="A21:B21"/>
  </mergeCells>
  <conditionalFormatting sqref="D22:AN22">
    <cfRule type="cellIs" dxfId="2" priority="1" operator="equal">
      <formula>"Por concluir"</formula>
    </cfRule>
    <cfRule type="cellIs" dxfId="1" priority="2" operator="equal">
      <formula>"Concluído"</formula>
    </cfRule>
    <cfRule type="cellIs" dxfId="0" priority="5" operator="equal">
      <formula>"Concluído"</formula>
    </cfRule>
  </conditionalFormatting>
  <dataValidations count="1">
    <dataValidation type="list" showErrorMessage="1" errorTitle="Classificação inválida" error="Introduzir 0 ou um inteiro de 2 a 20. Sem evidência técnica relevante ou sem compreensão essencial: 0." sqref="D12:AN16 D9:AN10 D4:AN7 D18:AN19" xr:uid="{00000000-0002-0000-0000-000000000000}">
      <formula1>"0,2,3,4,5,6,7,8,9,10,11,12,13,14,15,16,17,18,19,20"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Princípios</vt:lpstr>
      <vt:lpstr>Rubrica P1</vt:lpstr>
      <vt:lpstr>Grelha 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Nuno Silva</cp:lastModifiedBy>
  <dcterms:created xsi:type="dcterms:W3CDTF">2026-10-22T15:59:50Z</dcterms:created>
  <dcterms:modified xsi:type="dcterms:W3CDTF">2026-10-27T17:05:15Z</dcterms:modified>
</cp:coreProperties>
</file>